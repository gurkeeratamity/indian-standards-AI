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<sst xmlns="http://schemas.openxmlformats.org/spreadsheetml/2006/main" count="697" uniqueCount="290">
  <si>
    <t xml:space="preserve">Indian Standards (BIS) – Dairy Sector – Download &amp; Chunking Checklist</t>
  </si>
  <si>
    <t xml:space="preserve">Source: BIS “Indian Standards on Testing of Dairy Products” (FAD Book-3). Total standards: 135</t>
  </si>
  <si>
    <t xml:space="preserve">Pipeline: download from BIS website → extract_pdfs.py → chunk_pdfs.py → ingest.py</t>
  </si>
  <si>
    <t xml:space="preserve">#</t>
  </si>
  <si>
    <t xml:space="preserve">IS Number</t>
  </si>
  <si>
    <t xml:space="preserve">Title</t>
  </si>
  <si>
    <t xml:space="preserve">Category</t>
  </si>
  <si>
    <t xml:space="preserve">Downloaded</t>
  </si>
  <si>
    <t xml:space="preserve">Chunked</t>
  </si>
  <si>
    <t xml:space="preserve">IS 1000 : 2021</t>
  </si>
  <si>
    <t xml:space="preserve">Edible lactose – Specification (first revision)</t>
  </si>
  <si>
    <t xml:space="preserve">Dairy Products and Test Methods</t>
  </si>
  <si>
    <t xml:space="preserve">No</t>
  </si>
  <si>
    <t xml:space="preserve">IS 1165 : 2022</t>
  </si>
  <si>
    <t xml:space="preserve">Whole milk powder – Specification (sixth revision)</t>
  </si>
  <si>
    <t xml:space="preserve">IS 1166 : 2022</t>
  </si>
  <si>
    <t xml:space="preserve">Sweetened condensed milk, sweetened condensed partly skimmed milk, sweetened condensed skimmed milk and sweetened condensed high fat milk – Specification (third revision)</t>
  </si>
  <si>
    <t xml:space="preserve">IS 1167 : 2021</t>
  </si>
  <si>
    <t xml:space="preserve">Edible casein products – Specification (first revision)</t>
  </si>
  <si>
    <t xml:space="preserve">IS 1224 (Part 1) : 1977</t>
  </si>
  <si>
    <t xml:space="preserve">Determination of fat by the Gerber method Part 1 Milk (first revision)</t>
  </si>
  <si>
    <t xml:space="preserve">IS 1224 (Part 2) : 1977</t>
  </si>
  <si>
    <t xml:space="preserve">Determination of fat by the Gerber method Part 2 Milk products (first revision)</t>
  </si>
  <si>
    <t xml:space="preserve">IS 1479 (Part 1) : 2016</t>
  </si>
  <si>
    <t xml:space="preserve">Methods of test for dairy industry Part 1 Rapid examination of milk (first revision)</t>
  </si>
  <si>
    <t xml:space="preserve">IS 1479 (Part 2) : 1961</t>
  </si>
  <si>
    <t xml:space="preserve">Methods of test for dairy industry Part 2 Chemical analysis of milk</t>
  </si>
  <si>
    <t xml:space="preserve">IS 1479 (Part 3) : 1977</t>
  </si>
  <si>
    <t xml:space="preserve">Methods of test for dairy industry Part 3 Bacteriological analysis of milk (first revision)</t>
  </si>
  <si>
    <t xml:space="preserve">IS 1479 (Part 4) : 2018 / ISO 5764 : 2009</t>
  </si>
  <si>
    <t xml:space="preserve">Method of test for dairy industry Part 4 milk – Determination of freezing point Thermistor cryoscope method (third revision)</t>
  </si>
  <si>
    <t xml:space="preserve">IS 1479 (Part 5) : 1962</t>
  </si>
  <si>
    <t xml:space="preserve">Methods of test for dairy industry Part 5 Methods of dairy plant control</t>
  </si>
  <si>
    <t xml:space="preserve">IS 1656 : 2022</t>
  </si>
  <si>
    <t xml:space="preserve">Infant food – Milk-Cereal based complementary foods – Specification (fifth revision)</t>
  </si>
  <si>
    <t xml:space="preserve">IS 1806 : 2018</t>
  </si>
  <si>
    <t xml:space="preserve">Malted milk foods – Specification (second revision)</t>
  </si>
  <si>
    <t xml:space="preserve">IS 2785 : 2022</t>
  </si>
  <si>
    <t xml:space="preserve">Cheese – Specification (second revision)</t>
  </si>
  <si>
    <t xml:space="preserve">IS 2802 : 2022</t>
  </si>
  <si>
    <t xml:space="preserve">Ice cream and Kulfi – Specification (first revision)</t>
  </si>
  <si>
    <t xml:space="preserve">IS 2981 : 1964</t>
  </si>
  <si>
    <t xml:space="preserve">Layout plan for dairy laboratories</t>
  </si>
  <si>
    <t xml:space="preserve">IS 3507 : 1966</t>
  </si>
  <si>
    <t xml:space="preserve">Methods of sampling and test for butter</t>
  </si>
  <si>
    <t xml:space="preserve">IS 3508 : 1966</t>
  </si>
  <si>
    <t xml:space="preserve">Methods of sampling and test for ghee/ butterfat</t>
  </si>
  <si>
    <t xml:space="preserve">IS 3509 : 1966</t>
  </si>
  <si>
    <t xml:space="preserve">Method of sampling and test for cream</t>
  </si>
  <si>
    <t xml:space="preserve">IS 3864 : 1966</t>
  </si>
  <si>
    <t xml:space="preserve">Specification for mobile kit for milk testing</t>
  </si>
  <si>
    <t xml:space="preserve">IS 4079 : 2023</t>
  </si>
  <si>
    <t xml:space="preserve">Packed Rasogolla – Specification (first revision)</t>
  </si>
  <si>
    <t xml:space="preserve">IS 4238 : 2020</t>
  </si>
  <si>
    <t xml:space="preserve">Sterilized and ultra high temperature sterilized milk – Specification (first revision)</t>
  </si>
  <si>
    <t xml:space="preserve">IS 4709 : 2021</t>
  </si>
  <si>
    <t xml:space="preserve">Flavoured milk – Specification (first revision)</t>
  </si>
  <si>
    <t xml:space="preserve">IS 4883 : 2023</t>
  </si>
  <si>
    <t xml:space="preserve">Khoa – Specification (second revision)</t>
  </si>
  <si>
    <t xml:space="preserve">IS 4884 : 2021</t>
  </si>
  <si>
    <t xml:space="preserve">Sterilized/UHT sterilized cream – Specification (first revision)</t>
  </si>
  <si>
    <t xml:space="preserve">IS 5162 : 2021</t>
  </si>
  <si>
    <t xml:space="preserve">Chhana – Specification (second revision)</t>
  </si>
  <si>
    <t xml:space="preserve">IS 5550 : 2023</t>
  </si>
  <si>
    <t xml:space="preserve">Burfi – Specification (first revision)</t>
  </si>
  <si>
    <t xml:space="preserve">IS 5839 : 2000</t>
  </si>
  <si>
    <t xml:space="preserve">Food hygiene – Code of practice for manufacture storage and sale of ice cream (first revision)</t>
  </si>
  <si>
    <t xml:space="preserve">IS 7005 : 1973</t>
  </si>
  <si>
    <t xml:space="preserve">Code for hygienic conditions for production and processing, transportation and distribution of milk</t>
  </si>
  <si>
    <t xml:space="preserve">IS 7607 (Part 1) : 1975</t>
  </si>
  <si>
    <t xml:space="preserve">Code of practice for keeping dairy accounts Part 1 Primary milk collection units</t>
  </si>
  <si>
    <t xml:space="preserve">IS 7607 (Part 2) : 1975</t>
  </si>
  <si>
    <t xml:space="preserve">Code of practice for keeping dairy accounts Part 2 Market milk plants</t>
  </si>
  <si>
    <t xml:space="preserve">IS 7607 (Part 3) : 1975</t>
  </si>
  <si>
    <t xml:space="preserve">Code of practice for keeping dairy accounts Part 3 Product plants</t>
  </si>
  <si>
    <t xml:space="preserve">IS 7768 : 1975</t>
  </si>
  <si>
    <t xml:space="preserve">Method for sensory evaluation of milk</t>
  </si>
  <si>
    <t xml:space="preserve">IS 7769 : 1975</t>
  </si>
  <si>
    <t xml:space="preserve">Method for sensory evaluation of table butter</t>
  </si>
  <si>
    <t xml:space="preserve">IS 7770 : 1975</t>
  </si>
  <si>
    <t xml:space="preserve">Method for sensory evaluation of ghee/ clarified butterfat</t>
  </si>
  <si>
    <t xml:space="preserve">IS 7839 : 2022</t>
  </si>
  <si>
    <t xml:space="preserve">Dried ice-cream mix – Specification (first revision)</t>
  </si>
  <si>
    <t xml:space="preserve">IS 8479 (Part 1) : 1977</t>
  </si>
  <si>
    <t xml:space="preserve">Method for determination of phosphatase activity in milk and milk products Part 1 Routine method</t>
  </si>
  <si>
    <t xml:space="preserve">IS 8479 (Part 2) : 2020 / ISO 3356 : 2009</t>
  </si>
  <si>
    <t xml:space="preserve">Milk – Determination of alkaline phosphatase Part 2 Reference method (first revision)</t>
  </si>
  <si>
    <t xml:space="preserve">IS 9070 : 1979</t>
  </si>
  <si>
    <t xml:space="preserve">Method for determination of fat in cheese by van gulik method</t>
  </si>
  <si>
    <t xml:space="preserve">IS 9532 : 2023</t>
  </si>
  <si>
    <t xml:space="preserve">Chakka and Shrikhand – Specification (first revision)</t>
  </si>
  <si>
    <t xml:space="preserve">IS 9584 : 2022</t>
  </si>
  <si>
    <t xml:space="preserve">Cheese powder – Specification (first revision)</t>
  </si>
  <si>
    <t xml:space="preserve">IS 9617 : 2023</t>
  </si>
  <si>
    <t xml:space="preserve">Dahi – Specification (first revision)</t>
  </si>
  <si>
    <t xml:space="preserve">IS 9967 (Part 1) : 2008 / ISO 14673-1 : 2004</t>
  </si>
  <si>
    <t xml:space="preserve">Milk and milk products – Determination of nitrate and nitrite contents Part 1 (second revision)</t>
  </si>
  <si>
    <t xml:space="preserve">IS 9967 (Part 2) : 2008 / ISO 14673-2 : 2004</t>
  </si>
  <si>
    <t xml:space="preserve">Milk and milk products – Determination of nitrate and nitrite contents Part 2 (second revision)</t>
  </si>
  <si>
    <t xml:space="preserve">IS 9967 (Part 3) : 2008 / ISO 14673-3 : 2004</t>
  </si>
  <si>
    <t xml:space="preserve">Milk and milk products – Determination of nitrate and nitrite contents Part 3 (second revision)</t>
  </si>
  <si>
    <t xml:space="preserve">IS 10029 : 1981</t>
  </si>
  <si>
    <t xml:space="preserve">Method for sensory evaluation of sweetened condensed milk</t>
  </si>
  <si>
    <t xml:space="preserve">IS 10030 : 1981</t>
  </si>
  <si>
    <t xml:space="preserve">Method for sensory evaluation of milk powder</t>
  </si>
  <si>
    <t xml:space="preserve">IS 10083 : 1982</t>
  </si>
  <si>
    <t xml:space="preserve">Method of test for determination of SNF (solids-not-fat) in milk by the use of the lactometer</t>
  </si>
  <si>
    <t xml:space="preserve">IS 10281 : 1982</t>
  </si>
  <si>
    <t xml:space="preserve">Method for sensory evaluation of processed cheese</t>
  </si>
  <si>
    <t xml:space="preserve">IS 10484 : 2021</t>
  </si>
  <si>
    <t xml:space="preserve">Paneer – Specification (first revision)</t>
  </si>
  <si>
    <t xml:space="preserve">IS 10974 (Part 1) : 1984</t>
  </si>
  <si>
    <t xml:space="preserve">Code for hygienic conditions for production transport storage and distribution of milk products Part 1 Khoa and Khoa based sweets</t>
  </si>
  <si>
    <t xml:space="preserve">IS 10974 (Part 2) : 1984</t>
  </si>
  <si>
    <t xml:space="preserve">Part 2 Dahi</t>
  </si>
  <si>
    <t xml:space="preserve">IS 10974 (Part 3) : 1984</t>
  </si>
  <si>
    <t xml:space="preserve">Part 3 Coagulated products Chhana and Chhana based sweetmeats</t>
  </si>
  <si>
    <t xml:space="preserve">IS 10974 (Part 4) : 1984</t>
  </si>
  <si>
    <t xml:space="preserve">Part 4 Frozen products</t>
  </si>
  <si>
    <t xml:space="preserve">IS 10974 (Part 5) : 1984</t>
  </si>
  <si>
    <t xml:space="preserve">Part 5 Fermented products Shrikhand</t>
  </si>
  <si>
    <t xml:space="preserve">IS 11202 : 2012 / ISO 8069 : 2005</t>
  </si>
  <si>
    <t xml:space="preserve">Dried milk – Determination of content of lactic acid and lactates (second revision)</t>
  </si>
  <si>
    <t xml:space="preserve">IS 11546 : 2012 / ISO 707 : 2008</t>
  </si>
  <si>
    <t xml:space="preserve">Milk and milk products – Guidance on sampling (second revision)</t>
  </si>
  <si>
    <t xml:space="preserve">IS 11602 : 2023</t>
  </si>
  <si>
    <t xml:space="preserve">Packed Gulab Jamuns – Specification (first revision)</t>
  </si>
  <si>
    <t xml:space="preserve">IS 11622 : 1986</t>
  </si>
  <si>
    <t xml:space="preserve">Method for determination of total solids content in condensed milk</t>
  </si>
  <si>
    <t xml:space="preserve">IS 11623 : 2008 / ISO 5537 : 2004</t>
  </si>
  <si>
    <t xml:space="preserve">Dried milk – Determination of moisture content (first revision)</t>
  </si>
  <si>
    <t xml:space="preserve">IS 11721 : 2013 / ISO 1736 : 2008</t>
  </si>
  <si>
    <t xml:space="preserve">Dried milk and dried milk products – Determination of fat content (second revision)</t>
  </si>
  <si>
    <t xml:space="preserve">IS 11762 : 2013 / ISO 1737 : 2008</t>
  </si>
  <si>
    <t xml:space="preserve">Evaporated milk and sweetened condensed milk – Determination of fat content (second revision)</t>
  </si>
  <si>
    <t xml:space="preserve">IS 11763 : 2011 / ISO 5943 : 2006</t>
  </si>
  <si>
    <t xml:space="preserve">Cheese and processed cheese products – Determination of chloride content (third revision)</t>
  </si>
  <si>
    <t xml:space="preserve">IS 11764 : 2005 / ISO 2911 : 2004</t>
  </si>
  <si>
    <t xml:space="preserve">Sweetened condensed milk – Determination of sucrose content (first revision)</t>
  </si>
  <si>
    <t xml:space="preserve">IS 11765 : 2017 / ISO 6091 : 2010</t>
  </si>
  <si>
    <t xml:space="preserve">Dried milk – Determination of titratable acidity (first revision)</t>
  </si>
  <si>
    <t xml:space="preserve">IS 11766 : 1986 / ISO 6092 : 1980</t>
  </si>
  <si>
    <t xml:space="preserve">Method for determination of titratable acidity in milk powder and similar products</t>
  </si>
  <si>
    <t xml:space="preserve">IS 11888 : 2005 / ISO 5739 : 2003</t>
  </si>
  <si>
    <t xml:space="preserve">Caseins and caseinates – Determination of contents of scorched particles and of extraneous matter (first revision)</t>
  </si>
  <si>
    <t xml:space="preserve">IS 11917 : 2018 / ISO 8968-1 : 2014</t>
  </si>
  <si>
    <t xml:space="preserve">Milk and milk products – Determination of nitrogen content – Kjeldahl principle (first revision)</t>
  </si>
  <si>
    <t xml:space="preserve">IS 11918 : 2017 / ISO 5546 : 2010</t>
  </si>
  <si>
    <t xml:space="preserve">Caseins and caseinates – Determination of pH (first revision)</t>
  </si>
  <si>
    <t xml:space="preserve">IS 11919 : 2012 / ISO 5544 : 2008</t>
  </si>
  <si>
    <t xml:space="preserve">Caseins – Determination of fixed ash</t>
  </si>
  <si>
    <t xml:space="preserve">IS 11920 : 2012 / ISO 5550 : 2006</t>
  </si>
  <si>
    <t xml:space="preserve">Caseins and caseinates – Determination of moisture content (first revision)</t>
  </si>
  <si>
    <t xml:space="preserve">IS 11962 : 2012 / ISO 5545 : 2008</t>
  </si>
  <si>
    <t xml:space="preserve">Rennet caseins and caseinates – Determination of ash (first revision)</t>
  </si>
  <si>
    <t xml:space="preserve">IS 11963 : 2005 / ISO 5548 : 2004</t>
  </si>
  <si>
    <t xml:space="preserve">Caseins and caseinates – Determination of lactose content (first revision)</t>
  </si>
  <si>
    <t xml:space="preserve">IS 11964 : 2012 / ISO 5547 : 2008</t>
  </si>
  <si>
    <t xml:space="preserve">Caseins – Determination of free acidity (first revision)</t>
  </si>
  <si>
    <t xml:space="preserve">IS 12299 : 2021</t>
  </si>
  <si>
    <t xml:space="preserve">Dairy whitener – Specification (first revision)</t>
  </si>
  <si>
    <t xml:space="preserve">IS 12333 : 2017 / ISO 6731 : 2010</t>
  </si>
  <si>
    <t xml:space="preserve">Milk cream and evaporated milk – Determination of total solids content (second revision)</t>
  </si>
  <si>
    <t xml:space="preserve">IS 12756 : 2019 / ISO 2962 : 2010</t>
  </si>
  <si>
    <t xml:space="preserve">Cheese and processed cheese products – Determination of total phosphorus content (first revision)</t>
  </si>
  <si>
    <t xml:space="preserve">IS 12757 : 2012 / ISO/TS 2963 : 2006</t>
  </si>
  <si>
    <t xml:space="preserve">Cheese and processed cheese products – Determination of citric acid content (second revision)</t>
  </si>
  <si>
    <t xml:space="preserve">IS 12758 : 2005 / ISO 1735 : 2004</t>
  </si>
  <si>
    <t xml:space="preserve">Cheese and processed cheese products – Determination of fat content (first revision)</t>
  </si>
  <si>
    <t xml:space="preserve">IS 12759 : 2019 / ISO 8156 : 2005</t>
  </si>
  <si>
    <t xml:space="preserve">Dried milk and dried milk products – Determination of insolubility index (first revision)</t>
  </si>
  <si>
    <t xml:space="preserve">IS 12760 : 2012 / ISO 8070 : 2007</t>
  </si>
  <si>
    <t xml:space="preserve">Milk and milk products – Determination of calcium sodium potassium and magnesium contents (first revision)</t>
  </si>
  <si>
    <t xml:space="preserve">IS 12898 : 2022</t>
  </si>
  <si>
    <t xml:space="preserve">Dairy products – Yoghurt – Specification (first revision)</t>
  </si>
  <si>
    <t xml:space="preserve">IS 12899 : 1989</t>
  </si>
  <si>
    <t xml:space="preserve">Dairy products – Yoghurt – Enumeration of specific lactic acid bacteria</t>
  </si>
  <si>
    <t xml:space="preserve">IS 13334 (Part 1) : 2014</t>
  </si>
  <si>
    <t xml:space="preserve">Skimmed milk powder – Specification Part 1 Standard grade (second revision)</t>
  </si>
  <si>
    <t xml:space="preserve">IS 13334 (Part 2) : 2014</t>
  </si>
  <si>
    <t xml:space="preserve">Skimmed milk powder – Specification Part 2 Extra grade (first revision)</t>
  </si>
  <si>
    <t xml:space="preserve">IS 13500 : 1992</t>
  </si>
  <si>
    <t xml:space="preserve">Spray dried milk powders scorched particles – Determination</t>
  </si>
  <si>
    <t xml:space="preserve">IS 13688 : 2020</t>
  </si>
  <si>
    <t xml:space="preserve">Packaged pasteurized milk – Specification (second revision)</t>
  </si>
  <si>
    <t xml:space="preserve">IS 13689 : 2021</t>
  </si>
  <si>
    <t xml:space="preserve">Butter oil and anhydrous butter oil – Specification (first revision)</t>
  </si>
  <si>
    <t xml:space="preserve">IS 13690 : 2021</t>
  </si>
  <si>
    <t xml:space="preserve">Butter – Specification (first revision)</t>
  </si>
  <si>
    <t xml:space="preserve">IS 14433 : 2022</t>
  </si>
  <si>
    <t xml:space="preserve">Infant milk substitutes – Specification (second revision)</t>
  </si>
  <si>
    <t xml:space="preserve">IS 14542 : 1998</t>
  </si>
  <si>
    <t xml:space="preserve">Partly skimmed milk powder – Specification</t>
  </si>
  <si>
    <t xml:space="preserve">IS 15346 : 2003</t>
  </si>
  <si>
    <t xml:space="preserve">Method for sensory evaluation of paneer chhana</t>
  </si>
  <si>
    <t xml:space="preserve">IS 15347 : 2003</t>
  </si>
  <si>
    <t xml:space="preserve">Malted milk food – Method for sensory evaluation</t>
  </si>
  <si>
    <t xml:space="preserve">IS 15348 : 2003</t>
  </si>
  <si>
    <t xml:space="preserve">Method for sensory evaluation of Shrikhand</t>
  </si>
  <si>
    <t xml:space="preserve">IS 15349 : 2003</t>
  </si>
  <si>
    <t xml:space="preserve">Ice cream – Method for sensory evaluation</t>
  </si>
  <si>
    <t xml:space="preserve">IS 15757 : 2022</t>
  </si>
  <si>
    <t xml:space="preserve">Infant food – Follow-up formula – Specification (first revision)</t>
  </si>
  <si>
    <t xml:space="preserve">IS 16072 : 2012</t>
  </si>
  <si>
    <t xml:space="preserve">Determination of moisture content in milk powder and similar products (Routine method)</t>
  </si>
  <si>
    <t xml:space="preserve">IS 16195 : 2014 / ISO/TS 15495 : 2010</t>
  </si>
  <si>
    <t xml:space="preserve">Milk, milk products and infant formulae – Guidelines for determination of melamine and cyanuric acid by LC-MS/MS</t>
  </si>
  <si>
    <t xml:space="preserve">IS 16326 : 2015</t>
  </si>
  <si>
    <t xml:space="preserve">Ghee – Specification</t>
  </si>
  <si>
    <t xml:space="preserve">IS 17945 : 2022</t>
  </si>
  <si>
    <t xml:space="preserve">Food for special medical purpose intended for infants – Specification</t>
  </si>
  <si>
    <t xml:space="preserve">IS 18107 : 2023 / ISO/TS 11059 : 2009</t>
  </si>
  <si>
    <t xml:space="preserve">Milk and milk products – Method for the enumeration of Pseudomonas spp.</t>
  </si>
  <si>
    <t xml:space="preserve">IS 18108 : 2023 / ISO 14674 : 2005</t>
  </si>
  <si>
    <t xml:space="preserve">Milk and milk powder – Determination of aflatoxin M1 content (thin-layer chromatography)</t>
  </si>
  <si>
    <t xml:space="preserve">IS 18109 : 2023 / ISO 14675 : 2003</t>
  </si>
  <si>
    <t xml:space="preserve">Milk and milk products – Determination of aflatoxin M1 content (immunoassay guidelines)</t>
  </si>
  <si>
    <t xml:space="preserve">IS 18110 : 2023 / ISO 14501 : 2021</t>
  </si>
  <si>
    <t xml:space="preserve">Milk and milk powder – Determination of aflatoxin M1 content (HPLC)</t>
  </si>
  <si>
    <t xml:space="preserve">IS 1223 : 2001</t>
  </si>
  <si>
    <t xml:space="preserve">Apparatus for determination of milk fat by Gerber method – Specification (third revision)</t>
  </si>
  <si>
    <t xml:space="preserve">Dairy Equipment</t>
  </si>
  <si>
    <t xml:space="preserve">IS 1825 : 1983</t>
  </si>
  <si>
    <t xml:space="preserve">Specification for aluminium alloy milk cans (second revision)</t>
  </si>
  <si>
    <t xml:space="preserve">IS 2025 : 1962</t>
  </si>
  <si>
    <t xml:space="preserve">Specification for cylindrical pipettes for bacteriological examination of milk</t>
  </si>
  <si>
    <t xml:space="preserve">IS 2311 : 1973</t>
  </si>
  <si>
    <t xml:space="preserve">Specification for fat extraction apparatus for milk and milk products (first revision)</t>
  </si>
  <si>
    <t xml:space="preserve">IS 2336 : 1963</t>
  </si>
  <si>
    <t xml:space="preserve">Specification for stainless steel milk vats</t>
  </si>
  <si>
    <t xml:space="preserve">IS 2342 : 1963</t>
  </si>
  <si>
    <t xml:space="preserve">Specification for manually operated milk can washer</t>
  </si>
  <si>
    <t xml:space="preserve">IS 2343 : 2009</t>
  </si>
  <si>
    <t xml:space="preserve">Specification for can washing trough</t>
  </si>
  <si>
    <t xml:space="preserve">IS 2492 : 2019</t>
  </si>
  <si>
    <t xml:space="preserve">Stainless steel road milk tankers – Specification (second revision)</t>
  </si>
  <si>
    <t xml:space="preserve">IS 2495 : 1963</t>
  </si>
  <si>
    <t xml:space="preserve">Specification for cheese hoops</t>
  </si>
  <si>
    <t xml:space="preserve">IS 2498 : 1963</t>
  </si>
  <si>
    <t xml:space="preserve">Specification for cheese knife</t>
  </si>
  <si>
    <t xml:space="preserve">IS 2504 : 1964</t>
  </si>
  <si>
    <t xml:space="preserve">Specification for hand-operated cheese press vertical</t>
  </si>
  <si>
    <t xml:space="preserve">IS 2647 : 1964</t>
  </si>
  <si>
    <t xml:space="preserve">Specification for cheese mill</t>
  </si>
  <si>
    <t xml:space="preserve">IS 2688 : 2009</t>
  </si>
  <si>
    <t xml:space="preserve">Insulated stainless steel horizontal milk storage tank – Specification (first revision)</t>
  </si>
  <si>
    <t xml:space="preserve">IS 2689 : 2019</t>
  </si>
  <si>
    <t xml:space="preserve">Stainless steel batch pasteurizer – Specification (first revision)</t>
  </si>
  <si>
    <t xml:space="preserve">IS 2803 : 1964</t>
  </si>
  <si>
    <t xml:space="preserve">Specification for capillary pipette for direct microscopic count of milk</t>
  </si>
  <si>
    <t xml:space="preserve">IS 2829 : 2019</t>
  </si>
  <si>
    <t xml:space="preserve">Steam jacketed ghee pans boilers Stainless Steel – Specification (second revision)</t>
  </si>
  <si>
    <t xml:space="preserve">IS 3382 : 1965</t>
  </si>
  <si>
    <t xml:space="preserve">Specification for stainless steel milk pipes and fittings</t>
  </si>
  <si>
    <t xml:space="preserve">IS 3661 : 2023</t>
  </si>
  <si>
    <t xml:space="preserve">Bulk milk cooling tanks – Specification (second revision)</t>
  </si>
  <si>
    <t xml:space="preserve">IS 3893 : 1966</t>
  </si>
  <si>
    <t xml:space="preserve">Specification for slides for direct microscopic count of milk</t>
  </si>
  <si>
    <t xml:space="preserve">IS 3922 : 1966</t>
  </si>
  <si>
    <t xml:space="preserve">Recommendations for ghee refinery</t>
  </si>
  <si>
    <t xml:space="preserve">IS 4743 : 2018</t>
  </si>
  <si>
    <t xml:space="preserve">Settling tanks for ghee – Specification (first revision)</t>
  </si>
  <si>
    <t xml:space="preserve">IS 4938 : 2009</t>
  </si>
  <si>
    <t xml:space="preserve">Insulated stainless steel milk storage tank vertical type – Specification (first revision)</t>
  </si>
  <si>
    <t xml:space="preserve">IS 5253 : 1969</t>
  </si>
  <si>
    <t xml:space="preserve">Guidelines for cleaning and sterilizing dairy equipment</t>
  </si>
  <si>
    <t xml:space="preserve">IS 5567 : 1970</t>
  </si>
  <si>
    <t xml:space="preserve">Specification for bottles for sterilized milk</t>
  </si>
  <si>
    <t xml:space="preserve">IS 6591 : 2023</t>
  </si>
  <si>
    <t xml:space="preserve">Rail milk tank vans – Specification (first revision)</t>
  </si>
  <si>
    <t xml:space="preserve">IS 6684 : 1972</t>
  </si>
  <si>
    <t xml:space="preserve">Specification for milk can trolleys</t>
  </si>
  <si>
    <t xml:space="preserve">IS 9585 : 2021</t>
  </si>
  <si>
    <t xml:space="preserve">Lactometers – Specification (first revision)</t>
  </si>
  <si>
    <t xml:space="preserve">IS 9853 : 2018</t>
  </si>
  <si>
    <t xml:space="preserve">Stainless steel accessories for village milk collection center – Specification (first revision)</t>
  </si>
  <si>
    <t xml:space="preserve">IS 9854 : 2018</t>
  </si>
  <si>
    <t xml:space="preserve">Code for construction of milk delivery vans (first revision)</t>
  </si>
  <si>
    <t xml:space="preserve">IS 11585 : 2009</t>
  </si>
  <si>
    <t xml:space="preserve">Insulated stainless steel silos for milk storage capacity 30, 40, 60, and 100 kilo litres – Specification (first revision)</t>
  </si>
  <si>
    <t xml:space="preserve">IS 16440 : 2016</t>
  </si>
  <si>
    <t xml:space="preserve">Stainless steel milk cans – Specification</t>
  </si>
  <si>
    <t xml:space="preserve">Progress Summary</t>
  </si>
  <si>
    <t xml:space="preserve">Total standards</t>
  </si>
  <si>
    <t xml:space="preserve">Downloaded (Yes)</t>
  </si>
  <si>
    <t xml:space="preserve">Not yet downloaded</t>
  </si>
  <si>
    <t xml:space="preserve">Chunked (Yes)</t>
  </si>
  <si>
    <t xml:space="preserve">Not yet chunked</t>
  </si>
  <si>
    <t xml:space="preserve">By Category</t>
  </si>
  <si>
    <t xml:space="preserve">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</si>
</sst>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A3A6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6B"/>
        <bgColor rgb="FF333399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</row>
    <row r="5" customFormat="false" ht="27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n">
        <v>1</v>
      </c>
      <c r="B6" s="5" t="s">
        <v>9</v>
      </c>
      <c r="C6" s="6" t="s">
        <v>10</v>
      </c>
      <c r="D6" s="5" t="s">
        <v>11</v>
      </c>
      <c r="E6" s="4" t="s">
        <v>12</v>
      </c>
      <c r="F6" s="4" t="s">
        <v>12</v>
      </c>
    </row>
    <row r="7" customFormat="false" ht="15" hidden="false" customHeight="false" outlineLevel="0" collapsed="false">
      <c r="A7" s="7" t="n">
        <v>2</v>
      </c>
      <c r="B7" s="8" t="s">
        <v>13</v>
      </c>
      <c r="C7" s="9" t="s">
        <v>14</v>
      </c>
      <c r="D7" s="8" t="s">
        <v>11</v>
      </c>
      <c r="E7" s="7" t="s">
        <v>12</v>
      </c>
      <c r="F7" s="7" t="s">
        <v>12</v>
      </c>
    </row>
    <row r="8" customFormat="false" ht="35.05" hidden="false" customHeight="false" outlineLevel="0" collapsed="false">
      <c r="A8" s="4" t="n">
        <v>3</v>
      </c>
      <c r="B8" s="5" t="s">
        <v>15</v>
      </c>
      <c r="C8" s="6" t="s">
        <v>16</v>
      </c>
      <c r="D8" s="5" t="s">
        <v>11</v>
      </c>
      <c r="E8" s="4" t="s">
        <v>12</v>
      </c>
      <c r="F8" s="4" t="s">
        <v>12</v>
      </c>
    </row>
    <row r="9" customFormat="false" ht="15" hidden="false" customHeight="false" outlineLevel="0" collapsed="false">
      <c r="A9" s="7" t="n">
        <v>4</v>
      </c>
      <c r="B9" s="8" t="s">
        <v>17</v>
      </c>
      <c r="C9" s="9" t="s">
        <v>18</v>
      </c>
      <c r="D9" s="8" t="s">
        <v>11</v>
      </c>
      <c r="E9" s="7" t="s">
        <v>12</v>
      </c>
      <c r="F9" s="7" t="s">
        <v>12</v>
      </c>
    </row>
    <row r="10" customFormat="false" ht="15" hidden="false" customHeight="false" outlineLevel="0" collapsed="false">
      <c r="A10" s="4" t="n">
        <v>5</v>
      </c>
      <c r="B10" s="5" t="s">
        <v>19</v>
      </c>
      <c r="C10" s="6" t="s">
        <v>20</v>
      </c>
      <c r="D10" s="5" t="s">
        <v>11</v>
      </c>
      <c r="E10" s="4" t="s">
        <v>12</v>
      </c>
      <c r="F10" s="4" t="s">
        <v>12</v>
      </c>
    </row>
    <row r="11" customFormat="false" ht="15" hidden="false" customHeight="false" outlineLevel="0" collapsed="false">
      <c r="A11" s="7" t="n">
        <v>6</v>
      </c>
      <c r="B11" s="8" t="s">
        <v>21</v>
      </c>
      <c r="C11" s="9" t="s">
        <v>22</v>
      </c>
      <c r="D11" s="8" t="s">
        <v>11</v>
      </c>
      <c r="E11" s="7" t="s">
        <v>12</v>
      </c>
      <c r="F11" s="7" t="s">
        <v>12</v>
      </c>
    </row>
    <row r="12" customFormat="false" ht="15" hidden="false" customHeight="false" outlineLevel="0" collapsed="false">
      <c r="A12" s="4" t="n">
        <v>7</v>
      </c>
      <c r="B12" s="5" t="s">
        <v>23</v>
      </c>
      <c r="C12" s="6" t="s">
        <v>24</v>
      </c>
      <c r="D12" s="5" t="s">
        <v>11</v>
      </c>
      <c r="E12" s="4" t="s">
        <v>12</v>
      </c>
      <c r="F12" s="4" t="s">
        <v>12</v>
      </c>
    </row>
    <row r="13" customFormat="false" ht="15" hidden="false" customHeight="false" outlineLevel="0" collapsed="false">
      <c r="A13" s="7" t="n">
        <v>8</v>
      </c>
      <c r="B13" s="8" t="s">
        <v>25</v>
      </c>
      <c r="C13" s="9" t="s">
        <v>26</v>
      </c>
      <c r="D13" s="8" t="s">
        <v>11</v>
      </c>
      <c r="E13" s="7" t="s">
        <v>12</v>
      </c>
      <c r="F13" s="7" t="s">
        <v>12</v>
      </c>
    </row>
    <row r="14" customFormat="false" ht="15" hidden="false" customHeight="false" outlineLevel="0" collapsed="false">
      <c r="A14" s="4" t="n">
        <v>9</v>
      </c>
      <c r="B14" s="5" t="s">
        <v>27</v>
      </c>
      <c r="C14" s="6" t="s">
        <v>28</v>
      </c>
      <c r="D14" s="5" t="s">
        <v>11</v>
      </c>
      <c r="E14" s="4" t="s">
        <v>12</v>
      </c>
      <c r="F14" s="4" t="s">
        <v>12</v>
      </c>
    </row>
    <row r="15" customFormat="false" ht="23.85" hidden="false" customHeight="false" outlineLevel="0" collapsed="false">
      <c r="A15" s="7" t="n">
        <v>10</v>
      </c>
      <c r="B15" s="8" t="s">
        <v>29</v>
      </c>
      <c r="C15" s="9" t="s">
        <v>30</v>
      </c>
      <c r="D15" s="8" t="s">
        <v>11</v>
      </c>
      <c r="E15" s="7" t="s">
        <v>12</v>
      </c>
      <c r="F15" s="7" t="s">
        <v>12</v>
      </c>
    </row>
    <row r="16" customFormat="false" ht="15" hidden="false" customHeight="false" outlineLevel="0" collapsed="false">
      <c r="A16" s="4" t="n">
        <v>11</v>
      </c>
      <c r="B16" s="5" t="s">
        <v>31</v>
      </c>
      <c r="C16" s="6" t="s">
        <v>32</v>
      </c>
      <c r="D16" s="5" t="s">
        <v>11</v>
      </c>
      <c r="E16" s="4" t="s">
        <v>12</v>
      </c>
      <c r="F16" s="4" t="s">
        <v>12</v>
      </c>
    </row>
    <row r="17" customFormat="false" ht="15" hidden="false" customHeight="false" outlineLevel="0" collapsed="false">
      <c r="A17" s="7" t="n">
        <v>12</v>
      </c>
      <c r="B17" s="8" t="s">
        <v>33</v>
      </c>
      <c r="C17" s="9" t="s">
        <v>34</v>
      </c>
      <c r="D17" s="8" t="s">
        <v>11</v>
      </c>
      <c r="E17" s="7" t="s">
        <v>12</v>
      </c>
      <c r="F17" s="7" t="s">
        <v>12</v>
      </c>
    </row>
    <row r="18" customFormat="false" ht="15" hidden="false" customHeight="false" outlineLevel="0" collapsed="false">
      <c r="A18" s="4" t="n">
        <v>13</v>
      </c>
      <c r="B18" s="5" t="s">
        <v>35</v>
      </c>
      <c r="C18" s="6" t="s">
        <v>36</v>
      </c>
      <c r="D18" s="5" t="s">
        <v>11</v>
      </c>
      <c r="E18" s="4" t="s">
        <v>12</v>
      </c>
      <c r="F18" s="4" t="s">
        <v>12</v>
      </c>
    </row>
    <row r="19" customFormat="false" ht="15" hidden="false" customHeight="false" outlineLevel="0" collapsed="false">
      <c r="A19" s="7" t="n">
        <v>14</v>
      </c>
      <c r="B19" s="8" t="s">
        <v>37</v>
      </c>
      <c r="C19" s="9" t="s">
        <v>38</v>
      </c>
      <c r="D19" s="8" t="s">
        <v>11</v>
      </c>
      <c r="E19" s="7" t="s">
        <v>12</v>
      </c>
      <c r="F19" s="7" t="s">
        <v>12</v>
      </c>
    </row>
    <row r="20" customFormat="false" ht="15" hidden="false" customHeight="false" outlineLevel="0" collapsed="false">
      <c r="A20" s="4" t="n">
        <v>15</v>
      </c>
      <c r="B20" s="5" t="s">
        <v>39</v>
      </c>
      <c r="C20" s="6" t="s">
        <v>40</v>
      </c>
      <c r="D20" s="5" t="s">
        <v>11</v>
      </c>
      <c r="E20" s="4" t="s">
        <v>12</v>
      </c>
      <c r="F20" s="4" t="s">
        <v>12</v>
      </c>
    </row>
    <row r="21" customFormat="false" ht="15" hidden="false" customHeight="false" outlineLevel="0" collapsed="false">
      <c r="A21" s="7" t="n">
        <v>16</v>
      </c>
      <c r="B21" s="8" t="s">
        <v>41</v>
      </c>
      <c r="C21" s="9" t="s">
        <v>42</v>
      </c>
      <c r="D21" s="8" t="s">
        <v>11</v>
      </c>
      <c r="E21" s="7" t="s">
        <v>12</v>
      </c>
      <c r="F21" s="7" t="s">
        <v>12</v>
      </c>
    </row>
    <row r="22" customFormat="false" ht="15" hidden="false" customHeight="false" outlineLevel="0" collapsed="false">
      <c r="A22" s="4" t="n">
        <v>17</v>
      </c>
      <c r="B22" s="5" t="s">
        <v>43</v>
      </c>
      <c r="C22" s="6" t="s">
        <v>44</v>
      </c>
      <c r="D22" s="5" t="s">
        <v>11</v>
      </c>
      <c r="E22" s="4" t="s">
        <v>12</v>
      </c>
      <c r="F22" s="4" t="s">
        <v>12</v>
      </c>
    </row>
    <row r="23" customFormat="false" ht="15" hidden="false" customHeight="false" outlineLevel="0" collapsed="false">
      <c r="A23" s="7" t="n">
        <v>18</v>
      </c>
      <c r="B23" s="8" t="s">
        <v>45</v>
      </c>
      <c r="C23" s="9" t="s">
        <v>46</v>
      </c>
      <c r="D23" s="8" t="s">
        <v>11</v>
      </c>
      <c r="E23" s="7" t="s">
        <v>12</v>
      </c>
      <c r="F23" s="7" t="s">
        <v>12</v>
      </c>
    </row>
    <row r="24" customFormat="false" ht="15" hidden="false" customHeight="false" outlineLevel="0" collapsed="false">
      <c r="A24" s="4" t="n">
        <v>19</v>
      </c>
      <c r="B24" s="5" t="s">
        <v>47</v>
      </c>
      <c r="C24" s="6" t="s">
        <v>48</v>
      </c>
      <c r="D24" s="5" t="s">
        <v>11</v>
      </c>
      <c r="E24" s="4" t="s">
        <v>12</v>
      </c>
      <c r="F24" s="4" t="s">
        <v>12</v>
      </c>
    </row>
    <row r="25" customFormat="false" ht="15" hidden="false" customHeight="false" outlineLevel="0" collapsed="false">
      <c r="A25" s="7" t="n">
        <v>20</v>
      </c>
      <c r="B25" s="8" t="s">
        <v>49</v>
      </c>
      <c r="C25" s="9" t="s">
        <v>50</v>
      </c>
      <c r="D25" s="8" t="s">
        <v>11</v>
      </c>
      <c r="E25" s="7" t="s">
        <v>12</v>
      </c>
      <c r="F25" s="7" t="s">
        <v>12</v>
      </c>
    </row>
    <row r="26" customFormat="false" ht="15" hidden="false" customHeight="false" outlineLevel="0" collapsed="false">
      <c r="A26" s="4" t="n">
        <v>21</v>
      </c>
      <c r="B26" s="5" t="s">
        <v>51</v>
      </c>
      <c r="C26" s="6" t="s">
        <v>52</v>
      </c>
      <c r="D26" s="5" t="s">
        <v>11</v>
      </c>
      <c r="E26" s="4" t="s">
        <v>12</v>
      </c>
      <c r="F26" s="4" t="s">
        <v>12</v>
      </c>
    </row>
    <row r="27" customFormat="false" ht="15" hidden="false" customHeight="false" outlineLevel="0" collapsed="false">
      <c r="A27" s="7" t="n">
        <v>22</v>
      </c>
      <c r="B27" s="8" t="s">
        <v>53</v>
      </c>
      <c r="C27" s="9" t="s">
        <v>54</v>
      </c>
      <c r="D27" s="8" t="s">
        <v>11</v>
      </c>
      <c r="E27" s="7" t="s">
        <v>12</v>
      </c>
      <c r="F27" s="7" t="s">
        <v>12</v>
      </c>
    </row>
    <row r="28" customFormat="false" ht="15" hidden="false" customHeight="false" outlineLevel="0" collapsed="false">
      <c r="A28" s="4" t="n">
        <v>23</v>
      </c>
      <c r="B28" s="5" t="s">
        <v>55</v>
      </c>
      <c r="C28" s="6" t="s">
        <v>56</v>
      </c>
      <c r="D28" s="5" t="s">
        <v>11</v>
      </c>
      <c r="E28" s="4" t="s">
        <v>12</v>
      </c>
      <c r="F28" s="4" t="s">
        <v>12</v>
      </c>
    </row>
    <row r="29" customFormat="false" ht="15" hidden="false" customHeight="false" outlineLevel="0" collapsed="false">
      <c r="A29" s="7" t="n">
        <v>24</v>
      </c>
      <c r="B29" s="8" t="s">
        <v>57</v>
      </c>
      <c r="C29" s="9" t="s">
        <v>58</v>
      </c>
      <c r="D29" s="8" t="s">
        <v>11</v>
      </c>
      <c r="E29" s="7" t="s">
        <v>12</v>
      </c>
      <c r="F29" s="7" t="s">
        <v>12</v>
      </c>
    </row>
    <row r="30" customFormat="false" ht="15" hidden="false" customHeight="false" outlineLevel="0" collapsed="false">
      <c r="A30" s="4" t="n">
        <v>25</v>
      </c>
      <c r="B30" s="5" t="s">
        <v>59</v>
      </c>
      <c r="C30" s="6" t="s">
        <v>60</v>
      </c>
      <c r="D30" s="5" t="s">
        <v>11</v>
      </c>
      <c r="E30" s="4" t="s">
        <v>12</v>
      </c>
      <c r="F30" s="4" t="s">
        <v>12</v>
      </c>
    </row>
    <row r="31" customFormat="false" ht="15" hidden="false" customHeight="false" outlineLevel="0" collapsed="false">
      <c r="A31" s="7" t="n">
        <v>26</v>
      </c>
      <c r="B31" s="8" t="s">
        <v>61</v>
      </c>
      <c r="C31" s="9" t="s">
        <v>62</v>
      </c>
      <c r="D31" s="8" t="s">
        <v>11</v>
      </c>
      <c r="E31" s="7" t="s">
        <v>12</v>
      </c>
      <c r="F31" s="7" t="s">
        <v>12</v>
      </c>
    </row>
    <row r="32" customFormat="false" ht="15" hidden="false" customHeight="false" outlineLevel="0" collapsed="false">
      <c r="A32" s="4" t="n">
        <v>27</v>
      </c>
      <c r="B32" s="5" t="s">
        <v>63</v>
      </c>
      <c r="C32" s="6" t="s">
        <v>64</v>
      </c>
      <c r="D32" s="5" t="s">
        <v>11</v>
      </c>
      <c r="E32" s="4" t="s">
        <v>12</v>
      </c>
      <c r="F32" s="4" t="s">
        <v>12</v>
      </c>
    </row>
    <row r="33" customFormat="false" ht="23.85" hidden="false" customHeight="false" outlineLevel="0" collapsed="false">
      <c r="A33" s="7" t="n">
        <v>28</v>
      </c>
      <c r="B33" s="8" t="s">
        <v>65</v>
      </c>
      <c r="C33" s="9" t="s">
        <v>66</v>
      </c>
      <c r="D33" s="8" t="s">
        <v>11</v>
      </c>
      <c r="E33" s="7" t="s">
        <v>12</v>
      </c>
      <c r="F33" s="7" t="s">
        <v>12</v>
      </c>
    </row>
    <row r="34" customFormat="false" ht="23.85" hidden="false" customHeight="false" outlineLevel="0" collapsed="false">
      <c r="A34" s="4" t="n">
        <v>29</v>
      </c>
      <c r="B34" s="5" t="s">
        <v>67</v>
      </c>
      <c r="C34" s="6" t="s">
        <v>68</v>
      </c>
      <c r="D34" s="5" t="s">
        <v>11</v>
      </c>
      <c r="E34" s="4" t="s">
        <v>12</v>
      </c>
      <c r="F34" s="4" t="s">
        <v>12</v>
      </c>
    </row>
    <row r="35" customFormat="false" ht="15" hidden="false" customHeight="false" outlineLevel="0" collapsed="false">
      <c r="A35" s="7" t="n">
        <v>30</v>
      </c>
      <c r="B35" s="8" t="s">
        <v>69</v>
      </c>
      <c r="C35" s="9" t="s">
        <v>70</v>
      </c>
      <c r="D35" s="8" t="s">
        <v>11</v>
      </c>
      <c r="E35" s="7" t="s">
        <v>12</v>
      </c>
      <c r="F35" s="7" t="s">
        <v>12</v>
      </c>
    </row>
    <row r="36" customFormat="false" ht="15" hidden="false" customHeight="false" outlineLevel="0" collapsed="false">
      <c r="A36" s="4" t="n">
        <v>31</v>
      </c>
      <c r="B36" s="5" t="s">
        <v>71</v>
      </c>
      <c r="C36" s="6" t="s">
        <v>72</v>
      </c>
      <c r="D36" s="5" t="s">
        <v>11</v>
      </c>
      <c r="E36" s="4" t="s">
        <v>12</v>
      </c>
      <c r="F36" s="4" t="s">
        <v>12</v>
      </c>
    </row>
    <row r="37" customFormat="false" ht="15" hidden="false" customHeight="false" outlineLevel="0" collapsed="false">
      <c r="A37" s="7" t="n">
        <v>32</v>
      </c>
      <c r="B37" s="8" t="s">
        <v>73</v>
      </c>
      <c r="C37" s="9" t="s">
        <v>74</v>
      </c>
      <c r="D37" s="8" t="s">
        <v>11</v>
      </c>
      <c r="E37" s="7" t="s">
        <v>12</v>
      </c>
      <c r="F37" s="7" t="s">
        <v>12</v>
      </c>
    </row>
    <row r="38" customFormat="false" ht="15" hidden="false" customHeight="false" outlineLevel="0" collapsed="false">
      <c r="A38" s="4" t="n">
        <v>33</v>
      </c>
      <c r="B38" s="5" t="s">
        <v>75</v>
      </c>
      <c r="C38" s="6" t="s">
        <v>76</v>
      </c>
      <c r="D38" s="5" t="s">
        <v>11</v>
      </c>
      <c r="E38" s="4" t="s">
        <v>12</v>
      </c>
      <c r="F38" s="4" t="s">
        <v>12</v>
      </c>
    </row>
    <row r="39" customFormat="false" ht="15" hidden="false" customHeight="false" outlineLevel="0" collapsed="false">
      <c r="A39" s="7" t="n">
        <v>34</v>
      </c>
      <c r="B39" s="8" t="s">
        <v>77</v>
      </c>
      <c r="C39" s="9" t="s">
        <v>78</v>
      </c>
      <c r="D39" s="8" t="s">
        <v>11</v>
      </c>
      <c r="E39" s="7" t="s">
        <v>12</v>
      </c>
      <c r="F39" s="7" t="s">
        <v>12</v>
      </c>
    </row>
    <row r="40" customFormat="false" ht="15" hidden="false" customHeight="false" outlineLevel="0" collapsed="false">
      <c r="A40" s="4" t="n">
        <v>35</v>
      </c>
      <c r="B40" s="5" t="s">
        <v>79</v>
      </c>
      <c r="C40" s="6" t="s">
        <v>80</v>
      </c>
      <c r="D40" s="5" t="s">
        <v>11</v>
      </c>
      <c r="E40" s="4" t="s">
        <v>12</v>
      </c>
      <c r="F40" s="4" t="s">
        <v>12</v>
      </c>
    </row>
    <row r="41" customFormat="false" ht="15" hidden="false" customHeight="false" outlineLevel="0" collapsed="false">
      <c r="A41" s="7" t="n">
        <v>36</v>
      </c>
      <c r="B41" s="8" t="s">
        <v>81</v>
      </c>
      <c r="C41" s="9" t="s">
        <v>82</v>
      </c>
      <c r="D41" s="8" t="s">
        <v>11</v>
      </c>
      <c r="E41" s="7" t="s">
        <v>12</v>
      </c>
      <c r="F41" s="7" t="s">
        <v>12</v>
      </c>
    </row>
    <row r="42" customFormat="false" ht="23.85" hidden="false" customHeight="false" outlineLevel="0" collapsed="false">
      <c r="A42" s="4" t="n">
        <v>37</v>
      </c>
      <c r="B42" s="5" t="s">
        <v>83</v>
      </c>
      <c r="C42" s="6" t="s">
        <v>84</v>
      </c>
      <c r="D42" s="5" t="s">
        <v>11</v>
      </c>
      <c r="E42" s="4" t="s">
        <v>12</v>
      </c>
      <c r="F42" s="4" t="s">
        <v>12</v>
      </c>
    </row>
    <row r="43" customFormat="false" ht="15" hidden="false" customHeight="false" outlineLevel="0" collapsed="false">
      <c r="A43" s="7" t="n">
        <v>38</v>
      </c>
      <c r="B43" s="8" t="s">
        <v>85</v>
      </c>
      <c r="C43" s="9" t="s">
        <v>86</v>
      </c>
      <c r="D43" s="8" t="s">
        <v>11</v>
      </c>
      <c r="E43" s="7" t="s">
        <v>12</v>
      </c>
      <c r="F43" s="7" t="s">
        <v>12</v>
      </c>
    </row>
    <row r="44" customFormat="false" ht="15" hidden="false" customHeight="false" outlineLevel="0" collapsed="false">
      <c r="A44" s="4" t="n">
        <v>39</v>
      </c>
      <c r="B44" s="5" t="s">
        <v>87</v>
      </c>
      <c r="C44" s="6" t="s">
        <v>88</v>
      </c>
      <c r="D44" s="5" t="s">
        <v>11</v>
      </c>
      <c r="E44" s="4" t="s">
        <v>12</v>
      </c>
      <c r="F44" s="4" t="s">
        <v>12</v>
      </c>
    </row>
    <row r="45" customFormat="false" ht="15" hidden="false" customHeight="false" outlineLevel="0" collapsed="false">
      <c r="A45" s="7" t="n">
        <v>40</v>
      </c>
      <c r="B45" s="8" t="s">
        <v>89</v>
      </c>
      <c r="C45" s="9" t="s">
        <v>90</v>
      </c>
      <c r="D45" s="8" t="s">
        <v>11</v>
      </c>
      <c r="E45" s="7" t="s">
        <v>12</v>
      </c>
      <c r="F45" s="7" t="s">
        <v>12</v>
      </c>
    </row>
    <row r="46" customFormat="false" ht="15" hidden="false" customHeight="false" outlineLevel="0" collapsed="false">
      <c r="A46" s="4" t="n">
        <v>41</v>
      </c>
      <c r="B46" s="5" t="s">
        <v>91</v>
      </c>
      <c r="C46" s="6" t="s">
        <v>92</v>
      </c>
      <c r="D46" s="5" t="s">
        <v>11</v>
      </c>
      <c r="E46" s="4" t="s">
        <v>12</v>
      </c>
      <c r="F46" s="4" t="s">
        <v>12</v>
      </c>
    </row>
    <row r="47" customFormat="false" ht="15" hidden="false" customHeight="false" outlineLevel="0" collapsed="false">
      <c r="A47" s="7" t="n">
        <v>42</v>
      </c>
      <c r="B47" s="8" t="s">
        <v>93</v>
      </c>
      <c r="C47" s="9" t="s">
        <v>94</v>
      </c>
      <c r="D47" s="8" t="s">
        <v>11</v>
      </c>
      <c r="E47" s="7" t="s">
        <v>12</v>
      </c>
      <c r="F47" s="7" t="s">
        <v>12</v>
      </c>
    </row>
    <row r="48" customFormat="false" ht="23.85" hidden="false" customHeight="false" outlineLevel="0" collapsed="false">
      <c r="A48" s="4" t="n">
        <v>43</v>
      </c>
      <c r="B48" s="5" t="s">
        <v>95</v>
      </c>
      <c r="C48" s="6" t="s">
        <v>96</v>
      </c>
      <c r="D48" s="5" t="s">
        <v>11</v>
      </c>
      <c r="E48" s="4" t="s">
        <v>12</v>
      </c>
      <c r="F48" s="4" t="s">
        <v>12</v>
      </c>
    </row>
    <row r="49" customFormat="false" ht="23.85" hidden="false" customHeight="false" outlineLevel="0" collapsed="false">
      <c r="A49" s="7" t="n">
        <v>44</v>
      </c>
      <c r="B49" s="8" t="s">
        <v>97</v>
      </c>
      <c r="C49" s="9" t="s">
        <v>98</v>
      </c>
      <c r="D49" s="8" t="s">
        <v>11</v>
      </c>
      <c r="E49" s="7" t="s">
        <v>12</v>
      </c>
      <c r="F49" s="7" t="s">
        <v>12</v>
      </c>
    </row>
    <row r="50" customFormat="false" ht="23.85" hidden="false" customHeight="false" outlineLevel="0" collapsed="false">
      <c r="A50" s="4" t="n">
        <v>45</v>
      </c>
      <c r="B50" s="5" t="s">
        <v>99</v>
      </c>
      <c r="C50" s="6" t="s">
        <v>100</v>
      </c>
      <c r="D50" s="5" t="s">
        <v>11</v>
      </c>
      <c r="E50" s="4" t="s">
        <v>12</v>
      </c>
      <c r="F50" s="4" t="s">
        <v>12</v>
      </c>
    </row>
    <row r="51" customFormat="false" ht="15" hidden="false" customHeight="false" outlineLevel="0" collapsed="false">
      <c r="A51" s="7" t="n">
        <v>46</v>
      </c>
      <c r="B51" s="8" t="s">
        <v>101</v>
      </c>
      <c r="C51" s="9" t="s">
        <v>102</v>
      </c>
      <c r="D51" s="8" t="s">
        <v>11</v>
      </c>
      <c r="E51" s="7" t="s">
        <v>12</v>
      </c>
      <c r="F51" s="7" t="s">
        <v>12</v>
      </c>
    </row>
    <row r="52" customFormat="false" ht="15" hidden="false" customHeight="false" outlineLevel="0" collapsed="false">
      <c r="A52" s="4" t="n">
        <v>47</v>
      </c>
      <c r="B52" s="5" t="s">
        <v>103</v>
      </c>
      <c r="C52" s="6" t="s">
        <v>104</v>
      </c>
      <c r="D52" s="5" t="s">
        <v>11</v>
      </c>
      <c r="E52" s="4" t="s">
        <v>12</v>
      </c>
      <c r="F52" s="4" t="s">
        <v>12</v>
      </c>
    </row>
    <row r="53" customFormat="false" ht="23.85" hidden="false" customHeight="false" outlineLevel="0" collapsed="false">
      <c r="A53" s="7" t="n">
        <v>48</v>
      </c>
      <c r="B53" s="8" t="s">
        <v>105</v>
      </c>
      <c r="C53" s="9" t="s">
        <v>106</v>
      </c>
      <c r="D53" s="8" t="s">
        <v>11</v>
      </c>
      <c r="E53" s="7" t="s">
        <v>12</v>
      </c>
      <c r="F53" s="7" t="s">
        <v>12</v>
      </c>
    </row>
    <row r="54" customFormat="false" ht="15" hidden="false" customHeight="false" outlineLevel="0" collapsed="false">
      <c r="A54" s="4" t="n">
        <v>49</v>
      </c>
      <c r="B54" s="5" t="s">
        <v>107</v>
      </c>
      <c r="C54" s="6" t="s">
        <v>108</v>
      </c>
      <c r="D54" s="5" t="s">
        <v>11</v>
      </c>
      <c r="E54" s="4" t="s">
        <v>12</v>
      </c>
      <c r="F54" s="4" t="s">
        <v>12</v>
      </c>
    </row>
    <row r="55" customFormat="false" ht="15" hidden="false" customHeight="false" outlineLevel="0" collapsed="false">
      <c r="A55" s="7" t="n">
        <v>50</v>
      </c>
      <c r="B55" s="8" t="s">
        <v>109</v>
      </c>
      <c r="C55" s="9" t="s">
        <v>110</v>
      </c>
      <c r="D55" s="8" t="s">
        <v>11</v>
      </c>
      <c r="E55" s="7" t="s">
        <v>12</v>
      </c>
      <c r="F55" s="7" t="s">
        <v>12</v>
      </c>
    </row>
    <row r="56" customFormat="false" ht="23.85" hidden="false" customHeight="false" outlineLevel="0" collapsed="false">
      <c r="A56" s="4" t="n">
        <v>51</v>
      </c>
      <c r="B56" s="5" t="s">
        <v>111</v>
      </c>
      <c r="C56" s="6" t="s">
        <v>112</v>
      </c>
      <c r="D56" s="5" t="s">
        <v>11</v>
      </c>
      <c r="E56" s="4" t="s">
        <v>12</v>
      </c>
      <c r="F56" s="4" t="s">
        <v>12</v>
      </c>
    </row>
    <row r="57" customFormat="false" ht="15" hidden="false" customHeight="false" outlineLevel="0" collapsed="false">
      <c r="A57" s="7" t="n">
        <v>52</v>
      </c>
      <c r="B57" s="8" t="s">
        <v>113</v>
      </c>
      <c r="C57" s="9" t="s">
        <v>114</v>
      </c>
      <c r="D57" s="8" t="s">
        <v>11</v>
      </c>
      <c r="E57" s="7" t="s">
        <v>12</v>
      </c>
      <c r="F57" s="7" t="s">
        <v>12</v>
      </c>
    </row>
    <row r="58" customFormat="false" ht="15" hidden="false" customHeight="false" outlineLevel="0" collapsed="false">
      <c r="A58" s="4" t="n">
        <v>53</v>
      </c>
      <c r="B58" s="5" t="s">
        <v>115</v>
      </c>
      <c r="C58" s="6" t="s">
        <v>116</v>
      </c>
      <c r="D58" s="5" t="s">
        <v>11</v>
      </c>
      <c r="E58" s="4" t="s">
        <v>12</v>
      </c>
      <c r="F58" s="4" t="s">
        <v>12</v>
      </c>
    </row>
    <row r="59" customFormat="false" ht="15" hidden="false" customHeight="false" outlineLevel="0" collapsed="false">
      <c r="A59" s="7" t="n">
        <v>54</v>
      </c>
      <c r="B59" s="8" t="s">
        <v>117</v>
      </c>
      <c r="C59" s="9" t="s">
        <v>118</v>
      </c>
      <c r="D59" s="8" t="s">
        <v>11</v>
      </c>
      <c r="E59" s="7" t="s">
        <v>12</v>
      </c>
      <c r="F59" s="7" t="s">
        <v>12</v>
      </c>
    </row>
    <row r="60" customFormat="false" ht="15" hidden="false" customHeight="false" outlineLevel="0" collapsed="false">
      <c r="A60" s="4" t="n">
        <v>55</v>
      </c>
      <c r="B60" s="5" t="s">
        <v>119</v>
      </c>
      <c r="C60" s="6" t="s">
        <v>120</v>
      </c>
      <c r="D60" s="5" t="s">
        <v>11</v>
      </c>
      <c r="E60" s="4" t="s">
        <v>12</v>
      </c>
      <c r="F60" s="4" t="s">
        <v>12</v>
      </c>
    </row>
    <row r="61" customFormat="false" ht="15" hidden="false" customHeight="false" outlineLevel="0" collapsed="false">
      <c r="A61" s="7" t="n">
        <v>56</v>
      </c>
      <c r="B61" s="8" t="s">
        <v>121</v>
      </c>
      <c r="C61" s="9" t="s">
        <v>122</v>
      </c>
      <c r="D61" s="8" t="s">
        <v>11</v>
      </c>
      <c r="E61" s="7" t="s">
        <v>12</v>
      </c>
      <c r="F61" s="7" t="s">
        <v>12</v>
      </c>
    </row>
    <row r="62" customFormat="false" ht="15" hidden="false" customHeight="false" outlineLevel="0" collapsed="false">
      <c r="A62" s="4" t="n">
        <v>57</v>
      </c>
      <c r="B62" s="5" t="s">
        <v>123</v>
      </c>
      <c r="C62" s="6" t="s">
        <v>124</v>
      </c>
      <c r="D62" s="5" t="s">
        <v>11</v>
      </c>
      <c r="E62" s="4" t="s">
        <v>12</v>
      </c>
      <c r="F62" s="4" t="s">
        <v>12</v>
      </c>
    </row>
    <row r="63" customFormat="false" ht="15" hidden="false" customHeight="false" outlineLevel="0" collapsed="false">
      <c r="A63" s="7" t="n">
        <v>58</v>
      </c>
      <c r="B63" s="8" t="s">
        <v>125</v>
      </c>
      <c r="C63" s="9" t="s">
        <v>126</v>
      </c>
      <c r="D63" s="8" t="s">
        <v>11</v>
      </c>
      <c r="E63" s="7" t="s">
        <v>12</v>
      </c>
      <c r="F63" s="7" t="s">
        <v>12</v>
      </c>
    </row>
    <row r="64" customFormat="false" ht="15" hidden="false" customHeight="false" outlineLevel="0" collapsed="false">
      <c r="A64" s="4" t="n">
        <v>59</v>
      </c>
      <c r="B64" s="5" t="s">
        <v>127</v>
      </c>
      <c r="C64" s="6" t="s">
        <v>128</v>
      </c>
      <c r="D64" s="5" t="s">
        <v>11</v>
      </c>
      <c r="E64" s="4" t="s">
        <v>12</v>
      </c>
      <c r="F64" s="4" t="s">
        <v>12</v>
      </c>
    </row>
    <row r="65" customFormat="false" ht="15" hidden="false" customHeight="false" outlineLevel="0" collapsed="false">
      <c r="A65" s="7" t="n">
        <v>60</v>
      </c>
      <c r="B65" s="8" t="s">
        <v>129</v>
      </c>
      <c r="C65" s="9" t="s">
        <v>130</v>
      </c>
      <c r="D65" s="8" t="s">
        <v>11</v>
      </c>
      <c r="E65" s="7" t="s">
        <v>12</v>
      </c>
      <c r="F65" s="7" t="s">
        <v>12</v>
      </c>
    </row>
    <row r="66" customFormat="false" ht="15" hidden="false" customHeight="false" outlineLevel="0" collapsed="false">
      <c r="A66" s="4" t="n">
        <v>61</v>
      </c>
      <c r="B66" s="5" t="s">
        <v>131</v>
      </c>
      <c r="C66" s="6" t="s">
        <v>132</v>
      </c>
      <c r="D66" s="5" t="s">
        <v>11</v>
      </c>
      <c r="E66" s="4" t="s">
        <v>12</v>
      </c>
      <c r="F66" s="4" t="s">
        <v>12</v>
      </c>
    </row>
    <row r="67" customFormat="false" ht="23.85" hidden="false" customHeight="false" outlineLevel="0" collapsed="false">
      <c r="A67" s="7" t="n">
        <v>62</v>
      </c>
      <c r="B67" s="8" t="s">
        <v>133</v>
      </c>
      <c r="C67" s="9" t="s">
        <v>134</v>
      </c>
      <c r="D67" s="8" t="s">
        <v>11</v>
      </c>
      <c r="E67" s="7" t="s">
        <v>12</v>
      </c>
      <c r="F67" s="7" t="s">
        <v>12</v>
      </c>
    </row>
    <row r="68" customFormat="false" ht="23.85" hidden="false" customHeight="false" outlineLevel="0" collapsed="false">
      <c r="A68" s="4" t="n">
        <v>63</v>
      </c>
      <c r="B68" s="5" t="s">
        <v>135</v>
      </c>
      <c r="C68" s="6" t="s">
        <v>136</v>
      </c>
      <c r="D68" s="5" t="s">
        <v>11</v>
      </c>
      <c r="E68" s="4" t="s">
        <v>12</v>
      </c>
      <c r="F68" s="4" t="s">
        <v>12</v>
      </c>
    </row>
    <row r="69" customFormat="false" ht="15" hidden="false" customHeight="false" outlineLevel="0" collapsed="false">
      <c r="A69" s="7" t="n">
        <v>64</v>
      </c>
      <c r="B69" s="8" t="s">
        <v>137</v>
      </c>
      <c r="C69" s="9" t="s">
        <v>138</v>
      </c>
      <c r="D69" s="8" t="s">
        <v>11</v>
      </c>
      <c r="E69" s="7" t="s">
        <v>12</v>
      </c>
      <c r="F69" s="7" t="s">
        <v>12</v>
      </c>
    </row>
    <row r="70" customFormat="false" ht="15" hidden="false" customHeight="false" outlineLevel="0" collapsed="false">
      <c r="A70" s="4" t="n">
        <v>65</v>
      </c>
      <c r="B70" s="5" t="s">
        <v>139</v>
      </c>
      <c r="C70" s="6" t="s">
        <v>140</v>
      </c>
      <c r="D70" s="5" t="s">
        <v>11</v>
      </c>
      <c r="E70" s="4" t="s">
        <v>12</v>
      </c>
      <c r="F70" s="4" t="s">
        <v>12</v>
      </c>
    </row>
    <row r="71" customFormat="false" ht="15" hidden="false" customHeight="false" outlineLevel="0" collapsed="false">
      <c r="A71" s="7" t="n">
        <v>66</v>
      </c>
      <c r="B71" s="8" t="s">
        <v>141</v>
      </c>
      <c r="C71" s="9" t="s">
        <v>142</v>
      </c>
      <c r="D71" s="8" t="s">
        <v>11</v>
      </c>
      <c r="E71" s="7" t="s">
        <v>12</v>
      </c>
      <c r="F71" s="7" t="s">
        <v>12</v>
      </c>
    </row>
    <row r="72" customFormat="false" ht="23.85" hidden="false" customHeight="false" outlineLevel="0" collapsed="false">
      <c r="A72" s="4" t="n">
        <v>67</v>
      </c>
      <c r="B72" s="5" t="s">
        <v>143</v>
      </c>
      <c r="C72" s="6" t="s">
        <v>144</v>
      </c>
      <c r="D72" s="5" t="s">
        <v>11</v>
      </c>
      <c r="E72" s="4" t="s">
        <v>12</v>
      </c>
      <c r="F72" s="4" t="s">
        <v>12</v>
      </c>
    </row>
    <row r="73" customFormat="false" ht="23.85" hidden="false" customHeight="false" outlineLevel="0" collapsed="false">
      <c r="A73" s="7" t="n">
        <v>68</v>
      </c>
      <c r="B73" s="8" t="s">
        <v>145</v>
      </c>
      <c r="C73" s="9" t="s">
        <v>146</v>
      </c>
      <c r="D73" s="8" t="s">
        <v>11</v>
      </c>
      <c r="E73" s="7" t="s">
        <v>12</v>
      </c>
      <c r="F73" s="7" t="s">
        <v>12</v>
      </c>
    </row>
    <row r="74" customFormat="false" ht="15" hidden="false" customHeight="false" outlineLevel="0" collapsed="false">
      <c r="A74" s="4" t="n">
        <v>69</v>
      </c>
      <c r="B74" s="5" t="s">
        <v>147</v>
      </c>
      <c r="C74" s="6" t="s">
        <v>148</v>
      </c>
      <c r="D74" s="5" t="s">
        <v>11</v>
      </c>
      <c r="E74" s="4" t="s">
        <v>12</v>
      </c>
      <c r="F74" s="4" t="s">
        <v>12</v>
      </c>
    </row>
    <row r="75" customFormat="false" ht="15" hidden="false" customHeight="false" outlineLevel="0" collapsed="false">
      <c r="A75" s="7" t="n">
        <v>70</v>
      </c>
      <c r="B75" s="8" t="s">
        <v>149</v>
      </c>
      <c r="C75" s="9" t="s">
        <v>150</v>
      </c>
      <c r="D75" s="8" t="s">
        <v>11</v>
      </c>
      <c r="E75" s="7" t="s">
        <v>12</v>
      </c>
      <c r="F75" s="7" t="s">
        <v>12</v>
      </c>
    </row>
    <row r="76" customFormat="false" ht="15" hidden="false" customHeight="false" outlineLevel="0" collapsed="false">
      <c r="A76" s="4" t="n">
        <v>71</v>
      </c>
      <c r="B76" s="5" t="s">
        <v>151</v>
      </c>
      <c r="C76" s="6" t="s">
        <v>152</v>
      </c>
      <c r="D76" s="5" t="s">
        <v>11</v>
      </c>
      <c r="E76" s="4" t="s">
        <v>12</v>
      </c>
      <c r="F76" s="4" t="s">
        <v>12</v>
      </c>
    </row>
    <row r="77" customFormat="false" ht="15" hidden="false" customHeight="false" outlineLevel="0" collapsed="false">
      <c r="A77" s="7" t="n">
        <v>72</v>
      </c>
      <c r="B77" s="8" t="s">
        <v>153</v>
      </c>
      <c r="C77" s="9" t="s">
        <v>154</v>
      </c>
      <c r="D77" s="8" t="s">
        <v>11</v>
      </c>
      <c r="E77" s="7" t="s">
        <v>12</v>
      </c>
      <c r="F77" s="7" t="s">
        <v>12</v>
      </c>
    </row>
    <row r="78" customFormat="false" ht="15" hidden="false" customHeight="false" outlineLevel="0" collapsed="false">
      <c r="A78" s="4" t="n">
        <v>73</v>
      </c>
      <c r="B78" s="5" t="s">
        <v>155</v>
      </c>
      <c r="C78" s="6" t="s">
        <v>156</v>
      </c>
      <c r="D78" s="5" t="s">
        <v>11</v>
      </c>
      <c r="E78" s="4" t="s">
        <v>12</v>
      </c>
      <c r="F78" s="4" t="s">
        <v>12</v>
      </c>
    </row>
    <row r="79" customFormat="false" ht="15" hidden="false" customHeight="false" outlineLevel="0" collapsed="false">
      <c r="A79" s="7" t="n">
        <v>74</v>
      </c>
      <c r="B79" s="8" t="s">
        <v>157</v>
      </c>
      <c r="C79" s="9" t="s">
        <v>158</v>
      </c>
      <c r="D79" s="8" t="s">
        <v>11</v>
      </c>
      <c r="E79" s="7" t="s">
        <v>12</v>
      </c>
      <c r="F79" s="7" t="s">
        <v>12</v>
      </c>
    </row>
    <row r="80" customFormat="false" ht="15" hidden="false" customHeight="false" outlineLevel="0" collapsed="false">
      <c r="A80" s="4" t="n">
        <v>75</v>
      </c>
      <c r="B80" s="5" t="s">
        <v>159</v>
      </c>
      <c r="C80" s="6" t="s">
        <v>160</v>
      </c>
      <c r="D80" s="5" t="s">
        <v>11</v>
      </c>
      <c r="E80" s="4" t="s">
        <v>12</v>
      </c>
      <c r="F80" s="4" t="s">
        <v>12</v>
      </c>
    </row>
    <row r="81" customFormat="false" ht="23.85" hidden="false" customHeight="false" outlineLevel="0" collapsed="false">
      <c r="A81" s="7" t="n">
        <v>76</v>
      </c>
      <c r="B81" s="8" t="s">
        <v>161</v>
      </c>
      <c r="C81" s="9" t="s">
        <v>162</v>
      </c>
      <c r="D81" s="8" t="s">
        <v>11</v>
      </c>
      <c r="E81" s="7" t="s">
        <v>12</v>
      </c>
      <c r="F81" s="7" t="s">
        <v>12</v>
      </c>
    </row>
    <row r="82" customFormat="false" ht="23.85" hidden="false" customHeight="false" outlineLevel="0" collapsed="false">
      <c r="A82" s="4" t="n">
        <v>77</v>
      </c>
      <c r="B82" s="5" t="s">
        <v>163</v>
      </c>
      <c r="C82" s="6" t="s">
        <v>164</v>
      </c>
      <c r="D82" s="5" t="s">
        <v>11</v>
      </c>
      <c r="E82" s="4" t="s">
        <v>12</v>
      </c>
      <c r="F82" s="4" t="s">
        <v>12</v>
      </c>
    </row>
    <row r="83" customFormat="false" ht="23.85" hidden="false" customHeight="false" outlineLevel="0" collapsed="false">
      <c r="A83" s="7" t="n">
        <v>78</v>
      </c>
      <c r="B83" s="8" t="s">
        <v>165</v>
      </c>
      <c r="C83" s="9" t="s">
        <v>166</v>
      </c>
      <c r="D83" s="8" t="s">
        <v>11</v>
      </c>
      <c r="E83" s="7" t="s">
        <v>12</v>
      </c>
      <c r="F83" s="7" t="s">
        <v>12</v>
      </c>
    </row>
    <row r="84" customFormat="false" ht="15" hidden="false" customHeight="false" outlineLevel="0" collapsed="false">
      <c r="A84" s="4" t="n">
        <v>79</v>
      </c>
      <c r="B84" s="5" t="s">
        <v>167</v>
      </c>
      <c r="C84" s="6" t="s">
        <v>168</v>
      </c>
      <c r="D84" s="5" t="s">
        <v>11</v>
      </c>
      <c r="E84" s="4" t="s">
        <v>12</v>
      </c>
      <c r="F84" s="4" t="s">
        <v>12</v>
      </c>
    </row>
    <row r="85" customFormat="false" ht="15" hidden="false" customHeight="false" outlineLevel="0" collapsed="false">
      <c r="A85" s="7" t="n">
        <v>80</v>
      </c>
      <c r="B85" s="8" t="s">
        <v>169</v>
      </c>
      <c r="C85" s="9" t="s">
        <v>170</v>
      </c>
      <c r="D85" s="8" t="s">
        <v>11</v>
      </c>
      <c r="E85" s="7" t="s">
        <v>12</v>
      </c>
      <c r="F85" s="7" t="s">
        <v>12</v>
      </c>
    </row>
    <row r="86" customFormat="false" ht="23.85" hidden="false" customHeight="false" outlineLevel="0" collapsed="false">
      <c r="A86" s="4" t="n">
        <v>81</v>
      </c>
      <c r="B86" s="5" t="s">
        <v>171</v>
      </c>
      <c r="C86" s="6" t="s">
        <v>172</v>
      </c>
      <c r="D86" s="5" t="s">
        <v>11</v>
      </c>
      <c r="E86" s="4" t="s">
        <v>12</v>
      </c>
      <c r="F86" s="4" t="s">
        <v>12</v>
      </c>
    </row>
    <row r="87" customFormat="false" ht="15" hidden="false" customHeight="false" outlineLevel="0" collapsed="false">
      <c r="A87" s="7" t="n">
        <v>82</v>
      </c>
      <c r="B87" s="8" t="s">
        <v>173</v>
      </c>
      <c r="C87" s="9" t="s">
        <v>174</v>
      </c>
      <c r="D87" s="8" t="s">
        <v>11</v>
      </c>
      <c r="E87" s="7" t="s">
        <v>12</v>
      </c>
      <c r="F87" s="7" t="s">
        <v>12</v>
      </c>
    </row>
    <row r="88" customFormat="false" ht="15" hidden="false" customHeight="false" outlineLevel="0" collapsed="false">
      <c r="A88" s="4" t="n">
        <v>83</v>
      </c>
      <c r="B88" s="5" t="s">
        <v>175</v>
      </c>
      <c r="C88" s="6" t="s">
        <v>176</v>
      </c>
      <c r="D88" s="5" t="s">
        <v>11</v>
      </c>
      <c r="E88" s="4" t="s">
        <v>12</v>
      </c>
      <c r="F88" s="4" t="s">
        <v>12</v>
      </c>
    </row>
    <row r="89" customFormat="false" ht="15" hidden="false" customHeight="false" outlineLevel="0" collapsed="false">
      <c r="A89" s="7" t="n">
        <v>84</v>
      </c>
      <c r="B89" s="8" t="s">
        <v>177</v>
      </c>
      <c r="C89" s="9" t="s">
        <v>178</v>
      </c>
      <c r="D89" s="8" t="s">
        <v>11</v>
      </c>
      <c r="E89" s="7" t="s">
        <v>12</v>
      </c>
      <c r="F89" s="7" t="s">
        <v>12</v>
      </c>
    </row>
    <row r="90" customFormat="false" ht="15" hidden="false" customHeight="false" outlineLevel="0" collapsed="false">
      <c r="A90" s="4" t="n">
        <v>85</v>
      </c>
      <c r="B90" s="5" t="s">
        <v>179</v>
      </c>
      <c r="C90" s="6" t="s">
        <v>180</v>
      </c>
      <c r="D90" s="5" t="s">
        <v>11</v>
      </c>
      <c r="E90" s="4" t="s">
        <v>12</v>
      </c>
      <c r="F90" s="4" t="s">
        <v>12</v>
      </c>
    </row>
    <row r="91" customFormat="false" ht="15" hidden="false" customHeight="false" outlineLevel="0" collapsed="false">
      <c r="A91" s="7" t="n">
        <v>86</v>
      </c>
      <c r="B91" s="8" t="s">
        <v>181</v>
      </c>
      <c r="C91" s="9" t="s">
        <v>182</v>
      </c>
      <c r="D91" s="8" t="s">
        <v>11</v>
      </c>
      <c r="E91" s="7" t="s">
        <v>12</v>
      </c>
      <c r="F91" s="7" t="s">
        <v>12</v>
      </c>
    </row>
    <row r="92" customFormat="false" ht="15" hidden="false" customHeight="false" outlineLevel="0" collapsed="false">
      <c r="A92" s="4" t="n">
        <v>87</v>
      </c>
      <c r="B92" s="5" t="s">
        <v>183</v>
      </c>
      <c r="C92" s="6" t="s">
        <v>184</v>
      </c>
      <c r="D92" s="5" t="s">
        <v>11</v>
      </c>
      <c r="E92" s="4" t="s">
        <v>12</v>
      </c>
      <c r="F92" s="4" t="s">
        <v>12</v>
      </c>
    </row>
    <row r="93" customFormat="false" ht="15" hidden="false" customHeight="false" outlineLevel="0" collapsed="false">
      <c r="A93" s="7" t="n">
        <v>88</v>
      </c>
      <c r="B93" s="8" t="s">
        <v>185</v>
      </c>
      <c r="C93" s="9" t="s">
        <v>186</v>
      </c>
      <c r="D93" s="8" t="s">
        <v>11</v>
      </c>
      <c r="E93" s="7" t="s">
        <v>12</v>
      </c>
      <c r="F93" s="7" t="s">
        <v>12</v>
      </c>
    </row>
    <row r="94" customFormat="false" ht="15" hidden="false" customHeight="false" outlineLevel="0" collapsed="false">
      <c r="A94" s="4" t="n">
        <v>89</v>
      </c>
      <c r="B94" s="5" t="s">
        <v>187</v>
      </c>
      <c r="C94" s="6" t="s">
        <v>188</v>
      </c>
      <c r="D94" s="5" t="s">
        <v>11</v>
      </c>
      <c r="E94" s="4" t="s">
        <v>12</v>
      </c>
      <c r="F94" s="4" t="s">
        <v>12</v>
      </c>
    </row>
    <row r="95" customFormat="false" ht="15" hidden="false" customHeight="false" outlineLevel="0" collapsed="false">
      <c r="A95" s="7" t="n">
        <v>90</v>
      </c>
      <c r="B95" s="8" t="s">
        <v>189</v>
      </c>
      <c r="C95" s="9" t="s">
        <v>190</v>
      </c>
      <c r="D95" s="8" t="s">
        <v>11</v>
      </c>
      <c r="E95" s="7" t="s">
        <v>12</v>
      </c>
      <c r="F95" s="7" t="s">
        <v>12</v>
      </c>
    </row>
    <row r="96" customFormat="false" ht="15" hidden="false" customHeight="false" outlineLevel="0" collapsed="false">
      <c r="A96" s="4" t="n">
        <v>91</v>
      </c>
      <c r="B96" s="5" t="s">
        <v>191</v>
      </c>
      <c r="C96" s="6" t="s">
        <v>192</v>
      </c>
      <c r="D96" s="5" t="s">
        <v>11</v>
      </c>
      <c r="E96" s="4" t="s">
        <v>12</v>
      </c>
      <c r="F96" s="4" t="s">
        <v>12</v>
      </c>
    </row>
    <row r="97" customFormat="false" ht="15" hidden="false" customHeight="false" outlineLevel="0" collapsed="false">
      <c r="A97" s="7" t="n">
        <v>92</v>
      </c>
      <c r="B97" s="8" t="s">
        <v>193</v>
      </c>
      <c r="C97" s="9" t="s">
        <v>194</v>
      </c>
      <c r="D97" s="8" t="s">
        <v>11</v>
      </c>
      <c r="E97" s="7" t="s">
        <v>12</v>
      </c>
      <c r="F97" s="7" t="s">
        <v>12</v>
      </c>
    </row>
    <row r="98" customFormat="false" ht="15" hidden="false" customHeight="false" outlineLevel="0" collapsed="false">
      <c r="A98" s="4" t="n">
        <v>93</v>
      </c>
      <c r="B98" s="5" t="s">
        <v>195</v>
      </c>
      <c r="C98" s="6" t="s">
        <v>196</v>
      </c>
      <c r="D98" s="5" t="s">
        <v>11</v>
      </c>
      <c r="E98" s="4" t="s">
        <v>12</v>
      </c>
      <c r="F98" s="4" t="s">
        <v>12</v>
      </c>
    </row>
    <row r="99" customFormat="false" ht="15" hidden="false" customHeight="false" outlineLevel="0" collapsed="false">
      <c r="A99" s="7" t="n">
        <v>94</v>
      </c>
      <c r="B99" s="8" t="s">
        <v>197</v>
      </c>
      <c r="C99" s="9" t="s">
        <v>198</v>
      </c>
      <c r="D99" s="8" t="s">
        <v>11</v>
      </c>
      <c r="E99" s="7" t="s">
        <v>12</v>
      </c>
      <c r="F99" s="7" t="s">
        <v>12</v>
      </c>
    </row>
    <row r="100" customFormat="false" ht="15" hidden="false" customHeight="false" outlineLevel="0" collapsed="false">
      <c r="A100" s="4" t="n">
        <v>95</v>
      </c>
      <c r="B100" s="5" t="s">
        <v>199</v>
      </c>
      <c r="C100" s="6" t="s">
        <v>200</v>
      </c>
      <c r="D100" s="5" t="s">
        <v>11</v>
      </c>
      <c r="E100" s="4" t="s">
        <v>12</v>
      </c>
      <c r="F100" s="4" t="s">
        <v>12</v>
      </c>
    </row>
    <row r="101" customFormat="false" ht="15" hidden="false" customHeight="false" outlineLevel="0" collapsed="false">
      <c r="A101" s="7" t="n">
        <v>96</v>
      </c>
      <c r="B101" s="8" t="s">
        <v>201</v>
      </c>
      <c r="C101" s="9" t="s">
        <v>202</v>
      </c>
      <c r="D101" s="8" t="s">
        <v>11</v>
      </c>
      <c r="E101" s="7" t="s">
        <v>12</v>
      </c>
      <c r="F101" s="7" t="s">
        <v>12</v>
      </c>
    </row>
    <row r="102" customFormat="false" ht="23.85" hidden="false" customHeight="false" outlineLevel="0" collapsed="false">
      <c r="A102" s="4" t="n">
        <v>97</v>
      </c>
      <c r="B102" s="5" t="s">
        <v>203</v>
      </c>
      <c r="C102" s="6" t="s">
        <v>204</v>
      </c>
      <c r="D102" s="5" t="s">
        <v>11</v>
      </c>
      <c r="E102" s="4" t="s">
        <v>12</v>
      </c>
      <c r="F102" s="4" t="s">
        <v>12</v>
      </c>
    </row>
    <row r="103" customFormat="false" ht="23.85" hidden="false" customHeight="false" outlineLevel="0" collapsed="false">
      <c r="A103" s="7" t="n">
        <v>98</v>
      </c>
      <c r="B103" s="8" t="s">
        <v>205</v>
      </c>
      <c r="C103" s="9" t="s">
        <v>206</v>
      </c>
      <c r="D103" s="8" t="s">
        <v>11</v>
      </c>
      <c r="E103" s="7" t="s">
        <v>12</v>
      </c>
      <c r="F103" s="7" t="s">
        <v>12</v>
      </c>
    </row>
    <row r="104" customFormat="false" ht="15" hidden="false" customHeight="false" outlineLevel="0" collapsed="false">
      <c r="A104" s="4" t="n">
        <v>99</v>
      </c>
      <c r="B104" s="5" t="s">
        <v>207</v>
      </c>
      <c r="C104" s="6" t="s">
        <v>208</v>
      </c>
      <c r="D104" s="5" t="s">
        <v>11</v>
      </c>
      <c r="E104" s="4" t="s">
        <v>12</v>
      </c>
      <c r="F104" s="4" t="s">
        <v>12</v>
      </c>
    </row>
    <row r="105" customFormat="false" ht="15" hidden="false" customHeight="false" outlineLevel="0" collapsed="false">
      <c r="A105" s="7" t="n">
        <v>100</v>
      </c>
      <c r="B105" s="8" t="s">
        <v>209</v>
      </c>
      <c r="C105" s="9" t="s">
        <v>210</v>
      </c>
      <c r="D105" s="8" t="s">
        <v>11</v>
      </c>
      <c r="E105" s="7" t="s">
        <v>12</v>
      </c>
      <c r="F105" s="7" t="s">
        <v>12</v>
      </c>
    </row>
    <row r="106" customFormat="false" ht="15" hidden="false" customHeight="false" outlineLevel="0" collapsed="false">
      <c r="A106" s="4" t="n">
        <v>101</v>
      </c>
      <c r="B106" s="5" t="s">
        <v>211</v>
      </c>
      <c r="C106" s="6" t="s">
        <v>212</v>
      </c>
      <c r="D106" s="5" t="s">
        <v>11</v>
      </c>
      <c r="E106" s="4" t="s">
        <v>12</v>
      </c>
      <c r="F106" s="4" t="s">
        <v>12</v>
      </c>
    </row>
    <row r="107" customFormat="false" ht="23.85" hidden="false" customHeight="false" outlineLevel="0" collapsed="false">
      <c r="A107" s="7" t="n">
        <v>102</v>
      </c>
      <c r="B107" s="8" t="s">
        <v>213</v>
      </c>
      <c r="C107" s="9" t="s">
        <v>214</v>
      </c>
      <c r="D107" s="8" t="s">
        <v>11</v>
      </c>
      <c r="E107" s="7" t="s">
        <v>12</v>
      </c>
      <c r="F107" s="7" t="s">
        <v>12</v>
      </c>
    </row>
    <row r="108" customFormat="false" ht="23.85" hidden="false" customHeight="false" outlineLevel="0" collapsed="false">
      <c r="A108" s="4" t="n">
        <v>103</v>
      </c>
      <c r="B108" s="5" t="s">
        <v>215</v>
      </c>
      <c r="C108" s="6" t="s">
        <v>216</v>
      </c>
      <c r="D108" s="5" t="s">
        <v>11</v>
      </c>
      <c r="E108" s="4" t="s">
        <v>12</v>
      </c>
      <c r="F108" s="4" t="s">
        <v>12</v>
      </c>
    </row>
    <row r="109" customFormat="false" ht="15" hidden="false" customHeight="false" outlineLevel="0" collapsed="false">
      <c r="A109" s="7" t="n">
        <v>104</v>
      </c>
      <c r="B109" s="8" t="s">
        <v>217</v>
      </c>
      <c r="C109" s="9" t="s">
        <v>218</v>
      </c>
      <c r="D109" s="8" t="s">
        <v>11</v>
      </c>
      <c r="E109" s="7" t="s">
        <v>12</v>
      </c>
      <c r="F109" s="7" t="s">
        <v>12</v>
      </c>
    </row>
    <row r="110" customFormat="false" ht="23.85" hidden="false" customHeight="false" outlineLevel="0" collapsed="false">
      <c r="A110" s="4" t="n">
        <v>105</v>
      </c>
      <c r="B110" s="5" t="s">
        <v>219</v>
      </c>
      <c r="C110" s="6" t="s">
        <v>220</v>
      </c>
      <c r="D110" s="5" t="s">
        <v>221</v>
      </c>
      <c r="E110" s="4" t="s">
        <v>12</v>
      </c>
      <c r="F110" s="4" t="s">
        <v>12</v>
      </c>
    </row>
    <row r="111" customFormat="false" ht="15" hidden="false" customHeight="false" outlineLevel="0" collapsed="false">
      <c r="A111" s="7" t="n">
        <v>106</v>
      </c>
      <c r="B111" s="8" t="s">
        <v>222</v>
      </c>
      <c r="C111" s="9" t="s">
        <v>223</v>
      </c>
      <c r="D111" s="8" t="s">
        <v>221</v>
      </c>
      <c r="E111" s="7" t="s">
        <v>12</v>
      </c>
      <c r="F111" s="7" t="s">
        <v>12</v>
      </c>
    </row>
    <row r="112" customFormat="false" ht="15" hidden="false" customHeight="false" outlineLevel="0" collapsed="false">
      <c r="A112" s="4" t="n">
        <v>107</v>
      </c>
      <c r="B112" s="5" t="s">
        <v>224</v>
      </c>
      <c r="C112" s="6" t="s">
        <v>225</v>
      </c>
      <c r="D112" s="5" t="s">
        <v>221</v>
      </c>
      <c r="E112" s="4" t="s">
        <v>12</v>
      </c>
      <c r="F112" s="4" t="s">
        <v>12</v>
      </c>
    </row>
    <row r="113" customFormat="false" ht="15" hidden="false" customHeight="false" outlineLevel="0" collapsed="false">
      <c r="A113" s="7" t="n">
        <v>108</v>
      </c>
      <c r="B113" s="8" t="s">
        <v>226</v>
      </c>
      <c r="C113" s="9" t="s">
        <v>227</v>
      </c>
      <c r="D113" s="8" t="s">
        <v>221</v>
      </c>
      <c r="E113" s="7" t="s">
        <v>12</v>
      </c>
      <c r="F113" s="7" t="s">
        <v>12</v>
      </c>
    </row>
    <row r="114" customFormat="false" ht="15" hidden="false" customHeight="false" outlineLevel="0" collapsed="false">
      <c r="A114" s="4" t="n">
        <v>109</v>
      </c>
      <c r="B114" s="5" t="s">
        <v>228</v>
      </c>
      <c r="C114" s="6" t="s">
        <v>229</v>
      </c>
      <c r="D114" s="5" t="s">
        <v>221</v>
      </c>
      <c r="E114" s="4" t="s">
        <v>12</v>
      </c>
      <c r="F114" s="4" t="s">
        <v>12</v>
      </c>
    </row>
    <row r="115" customFormat="false" ht="15" hidden="false" customHeight="false" outlineLevel="0" collapsed="false">
      <c r="A115" s="7" t="n">
        <v>110</v>
      </c>
      <c r="B115" s="8" t="s">
        <v>230</v>
      </c>
      <c r="C115" s="9" t="s">
        <v>231</v>
      </c>
      <c r="D115" s="8" t="s">
        <v>221</v>
      </c>
      <c r="E115" s="7" t="s">
        <v>12</v>
      </c>
      <c r="F115" s="7" t="s">
        <v>12</v>
      </c>
    </row>
    <row r="116" customFormat="false" ht="15" hidden="false" customHeight="false" outlineLevel="0" collapsed="false">
      <c r="A116" s="4" t="n">
        <v>111</v>
      </c>
      <c r="B116" s="5" t="s">
        <v>232</v>
      </c>
      <c r="C116" s="6" t="s">
        <v>233</v>
      </c>
      <c r="D116" s="5" t="s">
        <v>221</v>
      </c>
      <c r="E116" s="4" t="s">
        <v>12</v>
      </c>
      <c r="F116" s="4" t="s">
        <v>12</v>
      </c>
    </row>
    <row r="117" customFormat="false" ht="15" hidden="false" customHeight="false" outlineLevel="0" collapsed="false">
      <c r="A117" s="7" t="n">
        <v>112</v>
      </c>
      <c r="B117" s="8" t="s">
        <v>234</v>
      </c>
      <c r="C117" s="9" t="s">
        <v>235</v>
      </c>
      <c r="D117" s="8" t="s">
        <v>221</v>
      </c>
      <c r="E117" s="7" t="s">
        <v>12</v>
      </c>
      <c r="F117" s="7" t="s">
        <v>12</v>
      </c>
    </row>
    <row r="118" customFormat="false" ht="15" hidden="false" customHeight="false" outlineLevel="0" collapsed="false">
      <c r="A118" s="4" t="n">
        <v>113</v>
      </c>
      <c r="B118" s="5" t="s">
        <v>236</v>
      </c>
      <c r="C118" s="6" t="s">
        <v>237</v>
      </c>
      <c r="D118" s="5" t="s">
        <v>221</v>
      </c>
      <c r="E118" s="4" t="s">
        <v>12</v>
      </c>
      <c r="F118" s="4" t="s">
        <v>12</v>
      </c>
    </row>
    <row r="119" customFormat="false" ht="15" hidden="false" customHeight="false" outlineLevel="0" collapsed="false">
      <c r="A119" s="7" t="n">
        <v>114</v>
      </c>
      <c r="B119" s="8" t="s">
        <v>238</v>
      </c>
      <c r="C119" s="9" t="s">
        <v>239</v>
      </c>
      <c r="D119" s="8" t="s">
        <v>221</v>
      </c>
      <c r="E119" s="7" t="s">
        <v>12</v>
      </c>
      <c r="F119" s="7" t="s">
        <v>12</v>
      </c>
    </row>
    <row r="120" customFormat="false" ht="15" hidden="false" customHeight="false" outlineLevel="0" collapsed="false">
      <c r="A120" s="4" t="n">
        <v>115</v>
      </c>
      <c r="B120" s="5" t="s">
        <v>240</v>
      </c>
      <c r="C120" s="6" t="s">
        <v>241</v>
      </c>
      <c r="D120" s="5" t="s">
        <v>221</v>
      </c>
      <c r="E120" s="4" t="s">
        <v>12</v>
      </c>
      <c r="F120" s="4" t="s">
        <v>12</v>
      </c>
    </row>
    <row r="121" customFormat="false" ht="15" hidden="false" customHeight="false" outlineLevel="0" collapsed="false">
      <c r="A121" s="7" t="n">
        <v>116</v>
      </c>
      <c r="B121" s="8" t="s">
        <v>242</v>
      </c>
      <c r="C121" s="9" t="s">
        <v>243</v>
      </c>
      <c r="D121" s="8" t="s">
        <v>221</v>
      </c>
      <c r="E121" s="7" t="s">
        <v>12</v>
      </c>
      <c r="F121" s="7" t="s">
        <v>12</v>
      </c>
    </row>
    <row r="122" customFormat="false" ht="15" hidden="false" customHeight="false" outlineLevel="0" collapsed="false">
      <c r="A122" s="4" t="n">
        <v>117</v>
      </c>
      <c r="B122" s="5" t="s">
        <v>244</v>
      </c>
      <c r="C122" s="6" t="s">
        <v>245</v>
      </c>
      <c r="D122" s="5" t="s">
        <v>221</v>
      </c>
      <c r="E122" s="4" t="s">
        <v>12</v>
      </c>
      <c r="F122" s="4" t="s">
        <v>12</v>
      </c>
    </row>
    <row r="123" customFormat="false" ht="15" hidden="false" customHeight="false" outlineLevel="0" collapsed="false">
      <c r="A123" s="7" t="n">
        <v>118</v>
      </c>
      <c r="B123" s="8" t="s">
        <v>246</v>
      </c>
      <c r="C123" s="9" t="s">
        <v>247</v>
      </c>
      <c r="D123" s="8" t="s">
        <v>221</v>
      </c>
      <c r="E123" s="7" t="s">
        <v>12</v>
      </c>
      <c r="F123" s="7" t="s">
        <v>12</v>
      </c>
    </row>
    <row r="124" customFormat="false" ht="15" hidden="false" customHeight="false" outlineLevel="0" collapsed="false">
      <c r="A124" s="4" t="n">
        <v>119</v>
      </c>
      <c r="B124" s="5" t="s">
        <v>248</v>
      </c>
      <c r="C124" s="6" t="s">
        <v>249</v>
      </c>
      <c r="D124" s="5" t="s">
        <v>221</v>
      </c>
      <c r="E124" s="4" t="s">
        <v>12</v>
      </c>
      <c r="F124" s="4" t="s">
        <v>12</v>
      </c>
    </row>
    <row r="125" customFormat="false" ht="15" hidden="false" customHeight="false" outlineLevel="0" collapsed="false">
      <c r="A125" s="7" t="n">
        <v>120</v>
      </c>
      <c r="B125" s="8" t="s">
        <v>250</v>
      </c>
      <c r="C125" s="9" t="s">
        <v>251</v>
      </c>
      <c r="D125" s="8" t="s">
        <v>221</v>
      </c>
      <c r="E125" s="7" t="s">
        <v>12</v>
      </c>
      <c r="F125" s="7" t="s">
        <v>12</v>
      </c>
    </row>
    <row r="126" customFormat="false" ht="15" hidden="false" customHeight="false" outlineLevel="0" collapsed="false">
      <c r="A126" s="4" t="n">
        <v>121</v>
      </c>
      <c r="B126" s="5" t="s">
        <v>252</v>
      </c>
      <c r="C126" s="6" t="s">
        <v>253</v>
      </c>
      <c r="D126" s="5" t="s">
        <v>221</v>
      </c>
      <c r="E126" s="4" t="s">
        <v>12</v>
      </c>
      <c r="F126" s="4" t="s">
        <v>12</v>
      </c>
    </row>
    <row r="127" customFormat="false" ht="15" hidden="false" customHeight="false" outlineLevel="0" collapsed="false">
      <c r="A127" s="7" t="n">
        <v>122</v>
      </c>
      <c r="B127" s="8" t="s">
        <v>254</v>
      </c>
      <c r="C127" s="9" t="s">
        <v>255</v>
      </c>
      <c r="D127" s="8" t="s">
        <v>221</v>
      </c>
      <c r="E127" s="7" t="s">
        <v>12</v>
      </c>
      <c r="F127" s="7" t="s">
        <v>12</v>
      </c>
    </row>
    <row r="128" customFormat="false" ht="15" hidden="false" customHeight="false" outlineLevel="0" collapsed="false">
      <c r="A128" s="4" t="n">
        <v>123</v>
      </c>
      <c r="B128" s="5" t="s">
        <v>256</v>
      </c>
      <c r="C128" s="6" t="s">
        <v>257</v>
      </c>
      <c r="D128" s="5" t="s">
        <v>221</v>
      </c>
      <c r="E128" s="4" t="s">
        <v>12</v>
      </c>
      <c r="F128" s="4" t="s">
        <v>12</v>
      </c>
    </row>
    <row r="129" customFormat="false" ht="15" hidden="false" customHeight="false" outlineLevel="0" collapsed="false">
      <c r="A129" s="7" t="n">
        <v>124</v>
      </c>
      <c r="B129" s="8" t="s">
        <v>258</v>
      </c>
      <c r="C129" s="9" t="s">
        <v>259</v>
      </c>
      <c r="D129" s="8" t="s">
        <v>221</v>
      </c>
      <c r="E129" s="7" t="s">
        <v>12</v>
      </c>
      <c r="F129" s="7" t="s">
        <v>12</v>
      </c>
    </row>
    <row r="130" customFormat="false" ht="15" hidden="false" customHeight="false" outlineLevel="0" collapsed="false">
      <c r="A130" s="4" t="n">
        <v>125</v>
      </c>
      <c r="B130" s="5" t="s">
        <v>260</v>
      </c>
      <c r="C130" s="6" t="s">
        <v>261</v>
      </c>
      <c r="D130" s="5" t="s">
        <v>221</v>
      </c>
      <c r="E130" s="4" t="s">
        <v>12</v>
      </c>
      <c r="F130" s="4" t="s">
        <v>12</v>
      </c>
    </row>
    <row r="131" customFormat="false" ht="15" hidden="false" customHeight="false" outlineLevel="0" collapsed="false">
      <c r="A131" s="7" t="n">
        <v>126</v>
      </c>
      <c r="B131" s="8" t="s">
        <v>262</v>
      </c>
      <c r="C131" s="9" t="s">
        <v>263</v>
      </c>
      <c r="D131" s="8" t="s">
        <v>221</v>
      </c>
      <c r="E131" s="7" t="s">
        <v>12</v>
      </c>
      <c r="F131" s="7" t="s">
        <v>12</v>
      </c>
    </row>
    <row r="132" customFormat="false" ht="15" hidden="false" customHeight="false" outlineLevel="0" collapsed="false">
      <c r="A132" s="4" t="n">
        <v>127</v>
      </c>
      <c r="B132" s="5" t="s">
        <v>264</v>
      </c>
      <c r="C132" s="6" t="s">
        <v>265</v>
      </c>
      <c r="D132" s="5" t="s">
        <v>221</v>
      </c>
      <c r="E132" s="4" t="s">
        <v>12</v>
      </c>
      <c r="F132" s="4" t="s">
        <v>12</v>
      </c>
    </row>
    <row r="133" customFormat="false" ht="15" hidden="false" customHeight="false" outlineLevel="0" collapsed="false">
      <c r="A133" s="7" t="n">
        <v>128</v>
      </c>
      <c r="B133" s="8" t="s">
        <v>266</v>
      </c>
      <c r="C133" s="9" t="s">
        <v>267</v>
      </c>
      <c r="D133" s="8" t="s">
        <v>221</v>
      </c>
      <c r="E133" s="7" t="s">
        <v>12</v>
      </c>
      <c r="F133" s="7" t="s">
        <v>12</v>
      </c>
    </row>
    <row r="134" customFormat="false" ht="15" hidden="false" customHeight="false" outlineLevel="0" collapsed="false">
      <c r="A134" s="4" t="n">
        <v>129</v>
      </c>
      <c r="B134" s="5" t="s">
        <v>268</v>
      </c>
      <c r="C134" s="6" t="s">
        <v>269</v>
      </c>
      <c r="D134" s="5" t="s">
        <v>221</v>
      </c>
      <c r="E134" s="4" t="s">
        <v>12</v>
      </c>
      <c r="F134" s="4" t="s">
        <v>12</v>
      </c>
    </row>
    <row r="135" customFormat="false" ht="15" hidden="false" customHeight="false" outlineLevel="0" collapsed="false">
      <c r="A135" s="7" t="n">
        <v>130</v>
      </c>
      <c r="B135" s="8" t="s">
        <v>270</v>
      </c>
      <c r="C135" s="9" t="s">
        <v>271</v>
      </c>
      <c r="D135" s="8" t="s">
        <v>221</v>
      </c>
      <c r="E135" s="7" t="s">
        <v>12</v>
      </c>
      <c r="F135" s="7" t="s">
        <v>12</v>
      </c>
    </row>
    <row r="136" customFormat="false" ht="15" hidden="false" customHeight="false" outlineLevel="0" collapsed="false">
      <c r="A136" s="4" t="n">
        <v>131</v>
      </c>
      <c r="B136" s="5" t="s">
        <v>272</v>
      </c>
      <c r="C136" s="6" t="s">
        <v>273</v>
      </c>
      <c r="D136" s="5" t="s">
        <v>221</v>
      </c>
      <c r="E136" s="4" t="s">
        <v>12</v>
      </c>
      <c r="F136" s="4" t="s">
        <v>12</v>
      </c>
    </row>
    <row r="137" customFormat="false" ht="23.85" hidden="false" customHeight="false" outlineLevel="0" collapsed="false">
      <c r="A137" s="7" t="n">
        <v>132</v>
      </c>
      <c r="B137" s="8" t="s">
        <v>274</v>
      </c>
      <c r="C137" s="9" t="s">
        <v>275</v>
      </c>
      <c r="D137" s="8" t="s">
        <v>221</v>
      </c>
      <c r="E137" s="7" t="s">
        <v>12</v>
      </c>
      <c r="F137" s="7" t="s">
        <v>12</v>
      </c>
    </row>
    <row r="138" customFormat="false" ht="15" hidden="false" customHeight="false" outlineLevel="0" collapsed="false">
      <c r="A138" s="4" t="n">
        <v>133</v>
      </c>
      <c r="B138" s="5" t="s">
        <v>276</v>
      </c>
      <c r="C138" s="6" t="s">
        <v>277</v>
      </c>
      <c r="D138" s="5" t="s">
        <v>221</v>
      </c>
      <c r="E138" s="4" t="s">
        <v>12</v>
      </c>
      <c r="F138" s="4" t="s">
        <v>12</v>
      </c>
    </row>
    <row r="139" customFormat="false" ht="23.85" hidden="false" customHeight="false" outlineLevel="0" collapsed="false">
      <c r="A139" s="7" t="n">
        <v>134</v>
      </c>
      <c r="B139" s="8" t="s">
        <v>278</v>
      </c>
      <c r="C139" s="9" t="s">
        <v>279</v>
      </c>
      <c r="D139" s="8" t="s">
        <v>221</v>
      </c>
      <c r="E139" s="7" t="s">
        <v>12</v>
      </c>
      <c r="F139" s="7" t="s">
        <v>12</v>
      </c>
    </row>
    <row r="140" customFormat="false" ht="15" hidden="false" customHeight="false" outlineLevel="0" collapsed="false">
      <c r="A140" s="4" t="n">
        <v>135</v>
      </c>
      <c r="B140" s="5" t="s">
        <v>280</v>
      </c>
      <c r="C140" s="6" t="s">
        <v>281</v>
      </c>
      <c r="D140" s="5" t="s">
        <v>221</v>
      </c>
      <c r="E140" s="4" t="s">
        <v>12</v>
      </c>
      <c r="F140" s="4" t="s">
        <v>12</v>
      </c>
    </row>
  </sheetData>
  <mergeCells count="3">
    <mergeCell ref="A1:F1"/>
    <mergeCell ref="A2:F2"/>
    <mergeCell ref="A3:F3"/>
  </mergeCells>
  <dataValidations count="1">
    <dataValidation allowBlank="false" errorStyle="stop" operator="between" showDropDown="false" showErrorMessage="false" showInputMessage="false" sqref="E6:F14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" t="s">
        <v>282</v>
      </c>
      <c r="B1" s="1"/>
    </row>
    <row r="3" customFormat="false" ht="15" hidden="false" customHeight="false" outlineLevel="0" collapsed="false">
      <c r="A3" s="10" t="s">
        <v>283</v>
      </c>
      <c r="B3" s="11" t="n">
        <f aca="false">COUNTA(Checklist!B6:B140)</f>
        <v>135</v>
      </c>
    </row>
    <row r="4" customFormat="false" ht="15" hidden="false" customHeight="false" outlineLevel="0" collapsed="false">
      <c r="A4" s="10" t="s">
        <v>284</v>
      </c>
      <c r="B4" s="11" t="n">
        <f aca="false">COUNTIF(Checklist!E6:E140,"Yes")</f>
        <v>0</v>
      </c>
    </row>
    <row r="5" customFormat="false" ht="15" hidden="false" customHeight="false" outlineLevel="0" collapsed="false">
      <c r="A5" s="10" t="s">
        <v>285</v>
      </c>
      <c r="B5" s="11" t="n">
        <f aca="false">COUNTIF(Checklist!E6:E140,"No")</f>
        <v>135</v>
      </c>
    </row>
    <row r="6" customFormat="false" ht="15" hidden="false" customHeight="false" outlineLevel="0" collapsed="false">
      <c r="A6" s="10" t="s">
        <v>286</v>
      </c>
      <c r="B6" s="11" t="n">
        <f aca="false">COUNTIF(Checklist!F6:F140,"Yes")</f>
        <v>0</v>
      </c>
    </row>
    <row r="7" customFormat="false" ht="15" hidden="false" customHeight="false" outlineLevel="0" collapsed="false">
      <c r="A7" s="10" t="s">
        <v>287</v>
      </c>
      <c r="B7" s="11" t="n">
        <f aca="false">COUNTIF(Checklist!F6:F140,"No")</f>
        <v>135</v>
      </c>
    </row>
    <row r="9" customFormat="false" ht="15" hidden="false" customHeight="false" outlineLevel="0" collapsed="false">
      <c r="A9" s="12" t="s">
        <v>288</v>
      </c>
    </row>
    <row r="10" customFormat="false" ht="15" hidden="false" customHeight="false" outlineLevel="0" collapsed="false">
      <c r="A10" s="13" t="s">
        <v>6</v>
      </c>
      <c r="B10" s="13" t="s">
        <v>289</v>
      </c>
      <c r="C10" s="13" t="s">
        <v>7</v>
      </c>
      <c r="D10" s="13" t="s">
        <v>8</v>
      </c>
    </row>
    <row r="11" customFormat="false" ht="15" hidden="false" customHeight="false" outlineLevel="0" collapsed="false">
      <c r="A11" s="14" t="s">
        <v>11</v>
      </c>
      <c r="B11" s="15" t="n">
        <f aca="false">COUNTIF(Checklist!D6:D140,"Dairy Products and Test Methods")</f>
        <v>104</v>
      </c>
      <c r="C11" s="15" t="n">
        <f aca="false">COUNTIFS(Checklist!D6:D140,"Dairy Products and Test Methods",Checklist!E6:E140,"Yes")</f>
        <v>0</v>
      </c>
      <c r="D11" s="15" t="n">
        <f aca="false">COUNTIFS(Checklist!D6:D140,"Dairy Products and Test Methods",Checklist!F6:F140,"Yes")</f>
        <v>0</v>
      </c>
    </row>
    <row r="12" customFormat="false" ht="15" hidden="false" customHeight="false" outlineLevel="0" collapsed="false">
      <c r="A12" s="14" t="s">
        <v>221</v>
      </c>
      <c r="B12" s="15" t="n">
        <f aca="false">COUNTIF(Checklist!D6:D140,"Dairy Equipment")</f>
        <v>31</v>
      </c>
      <c r="C12" s="15" t="n">
        <f aca="false">COUNTIFS(Checklist!D6:D140,"Dairy Equipment",Checklist!E6:E140,"Yes")</f>
        <v>0</v>
      </c>
      <c r="D12" s="15" t="n">
        <f aca="false">COUNTIFS(Checklist!D6:D140,"Dairy Equipment",Checklist!F6:F140,"Yes")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2026-08-29T12:47:37Z</dcterms:created>
  <dc:creator>openpyxl</dc:creator>
  <dc:description/>
  <dc:language>en-US</dc:language>
  <cp:lastModifiedBy/>
  <dcterms:modified xsi:type="dcterms:W3CDTF">2026-08-29T12:47:37Z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